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ewa\Witcher3_optimizer\"/>
    </mc:Choice>
  </mc:AlternateContent>
  <xr:revisionPtr revIDLastSave="0" documentId="11_513149B3690BBE6FBA8C38971751FED8F172BDD7" xr6:coauthVersionLast="47" xr6:coauthVersionMax="47" xr10:uidLastSave="{00000000-0000-0000-0000-000000000000}"/>
  <bookViews>
    <workbookView xWindow="-120" yWindow="-120" windowWidth="38640" windowHeight="21120" firstSheet="8" activeTab="11" xr2:uid="{00000000-000D-0000-FFFF-FFFF00000000}"/>
  </bookViews>
  <sheets>
    <sheet name="White Orchard" sheetId="1" r:id="rId1"/>
    <sheet name="Visima" sheetId="2" r:id="rId2"/>
    <sheet name="Velen" sheetId="3" r:id="rId3"/>
    <sheet name="Novigrad" sheetId="4" r:id="rId4"/>
    <sheet name="Skellige" sheetId="5" r:id="rId5"/>
    <sheet name="Kear Morhen" sheetId="6" r:id="rId6"/>
    <sheet name="Toussaint" sheetId="7" r:id="rId7"/>
    <sheet name="White Orchard Relationships" sheetId="8" r:id="rId8"/>
    <sheet name="Visima Relationships" sheetId="9" r:id="rId9"/>
    <sheet name="Velen Relationships" sheetId="10" r:id="rId10"/>
    <sheet name="Novigrad Relationships" sheetId="11" r:id="rId11"/>
    <sheet name="Skellige Relationships" sheetId="12" r:id="rId12"/>
    <sheet name="Kear Morhen Relationships" sheetId="13" r:id="rId13"/>
    <sheet name="Toussaint Relationships" sheetId="14" r:id="rId14"/>
    <sheet name="Reward_rules" sheetId="15" r:id="rId15"/>
    <sheet name="Relationships" sheetId="16" r:id="rId16"/>
    <sheet name="Relationship_issue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2" i="7" l="1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40" i="1"/>
  <c r="C39" i="1"/>
  <c r="C38" i="1"/>
  <c r="C37" i="1"/>
  <c r="C36" i="1"/>
  <c r="Q35" i="1"/>
  <c r="P35" i="1"/>
  <c r="C35" i="1"/>
  <c r="Q34" i="1"/>
  <c r="P34" i="1"/>
  <c r="C34" i="1"/>
  <c r="Q33" i="1"/>
  <c r="P33" i="1"/>
  <c r="C33" i="1"/>
  <c r="Q32" i="1"/>
  <c r="P32" i="1"/>
  <c r="C32" i="1"/>
  <c r="Q31" i="1"/>
  <c r="P31" i="1"/>
  <c r="C31" i="1"/>
  <c r="Q30" i="1"/>
  <c r="P30" i="1"/>
  <c r="C30" i="1"/>
  <c r="C29" i="1"/>
  <c r="C28" i="1"/>
  <c r="C27" i="1"/>
  <c r="Q26" i="1"/>
  <c r="C26" i="1"/>
  <c r="Q25" i="1"/>
  <c r="C25" i="1"/>
  <c r="C24" i="1"/>
  <c r="C23" i="1"/>
  <c r="C22" i="1"/>
  <c r="C21" i="1"/>
  <c r="C20" i="1"/>
  <c r="Q19" i="1"/>
  <c r="P19" i="1"/>
  <c r="C19" i="1"/>
  <c r="Q18" i="1"/>
  <c r="P18" i="1"/>
  <c r="C18" i="1"/>
  <c r="Q17" i="1"/>
  <c r="C17" i="1"/>
  <c r="Q16" i="1"/>
  <c r="C16" i="1"/>
  <c r="Q15" i="1"/>
  <c r="C15" i="1"/>
  <c r="P14" i="1"/>
  <c r="C14" i="1"/>
  <c r="P13" i="1"/>
  <c r="C13" i="1"/>
  <c r="Q12" i="1"/>
  <c r="C12" i="1"/>
  <c r="Q11" i="1"/>
  <c r="C11" i="1"/>
  <c r="C10" i="1"/>
  <c r="C9" i="1"/>
  <c r="C8" i="1"/>
  <c r="C7" i="1"/>
  <c r="P6" i="1"/>
  <c r="C6" i="1"/>
  <c r="C5" i="1"/>
  <c r="C4" i="1"/>
  <c r="P3" i="1"/>
  <c r="C3" i="1"/>
  <c r="P2" i="1"/>
  <c r="C2" i="1"/>
</calcChain>
</file>

<file path=xl/sharedStrings.xml><?xml version="1.0" encoding="utf-8"?>
<sst xmlns="http://schemas.openxmlformats.org/spreadsheetml/2006/main" count="21161" uniqueCount="4778">
  <si>
    <t>Reward_rule_type</t>
  </si>
  <si>
    <t>Level_gap_min</t>
  </si>
  <si>
    <t>Level_gap_max</t>
  </si>
  <si>
    <t>Multiplier</t>
  </si>
  <si>
    <t>describtion</t>
  </si>
  <si>
    <t>base_cliff</t>
  </si>
  <si>
    <t>over-leveled by 11+, base game / Blood and Wine cliff</t>
  </si>
  <si>
    <t xml:space="preserve">	standard Death March penalty applies (flat 80%)</t>
  </si>
  <si>
    <t>hos_gradual</t>
  </si>
  <si>
    <t>over-leveled by 6+</t>
  </si>
  <si>
    <t>player exactly at recommended level</t>
  </si>
  <si>
    <t xml:space="preserve">	under-leveled by 6+, drops back to flat Death March rate</t>
  </si>
  <si>
    <t>exempt_full</t>
  </si>
  <si>
    <t xml:space="preserve">	no recommended level → always 100%, ignores Death March entirely</t>
  </si>
  <si>
    <t>Category</t>
  </si>
  <si>
    <t>DLC</t>
  </si>
  <si>
    <t>ID</t>
  </si>
  <si>
    <t>Quest_ID</t>
  </si>
  <si>
    <t>Step_ID</t>
  </si>
  <si>
    <t>Quest_Name</t>
  </si>
  <si>
    <t>Describtion</t>
  </si>
  <si>
    <t>Location</t>
  </si>
  <si>
    <t>Has_level_recommendation</t>
  </si>
  <si>
    <t>Recommended_level</t>
  </si>
  <si>
    <t>Reward XP</t>
  </si>
  <si>
    <t>Manditory</t>
  </si>
  <si>
    <t>Before</t>
  </si>
  <si>
    <t>After</t>
  </si>
  <si>
    <t>Block_ID</t>
  </si>
  <si>
    <t>Path_ID</t>
  </si>
  <si>
    <t>Fabularny</t>
  </si>
  <si>
    <t>podstawa</t>
  </si>
  <si>
    <t>WOF1</t>
  </si>
  <si>
    <t xml:space="preserve">Bez i agrest </t>
  </si>
  <si>
    <t>zacznij zadanie</t>
  </si>
  <si>
    <t>Biały Sad</t>
  </si>
  <si>
    <t>True</t>
  </si>
  <si>
    <t>-</t>
  </si>
  <si>
    <t>Zabij ghule</t>
  </si>
  <si>
    <t>WOF1_S1</t>
  </si>
  <si>
    <t>3a</t>
  </si>
  <si>
    <t>Axii na chłopów</t>
  </si>
  <si>
    <t>False</t>
  </si>
  <si>
    <t>WOF1_S2</t>
  </si>
  <si>
    <t>3b</t>
  </si>
  <si>
    <t>nie używaj Axii na chłopów</t>
  </si>
  <si>
    <t>Bez i agrest</t>
  </si>
  <si>
    <t>Pokonaj chłopów przed karczmą</t>
  </si>
  <si>
    <t>WOF1_S3a/WOF1_S3b</t>
  </si>
  <si>
    <t>Zakończ zadanie</t>
  </si>
  <si>
    <t>WOF3_S1</t>
  </si>
  <si>
    <t>WOF3_BLOCK</t>
  </si>
  <si>
    <t>WOF2</t>
  </si>
  <si>
    <t>Bestia z Białego Sadu</t>
  </si>
  <si>
    <t>Zacznij zadanie</t>
  </si>
  <si>
    <t>WOF1_S3</t>
  </si>
  <si>
    <t>WOF2_BLOCK</t>
  </si>
  <si>
    <t>Wysłuchaj historii Mysława</t>
  </si>
  <si>
    <t>Po zbadaniu gniazda gryfa</t>
  </si>
  <si>
    <t>WOF2_S1</t>
  </si>
  <si>
    <t>5a</t>
  </si>
  <si>
    <t>Zakończ zadanie (przyjmij nagrodę)</t>
  </si>
  <si>
    <t>WOF2_S2</t>
  </si>
  <si>
    <t>5b</t>
  </si>
  <si>
    <t>Zakończ zadanie (odrzuć nagrodę)</t>
  </si>
  <si>
    <t>WOF3</t>
  </si>
  <si>
    <t>Incydent w Białym Sadzie</t>
  </si>
  <si>
    <t>WOF2_S3a/WOF2_S3b</t>
  </si>
  <si>
    <t>WOF4</t>
  </si>
  <si>
    <t>Coś się kończy, coś się zaczyna</t>
  </si>
  <si>
    <t>SF16_S1</t>
  </si>
  <si>
    <t>WOF4_BLOCK</t>
  </si>
  <si>
    <t>2a</t>
  </si>
  <si>
    <t>[Wiedźmińskie zakończenie] Po przybyciu do białego sadu</t>
  </si>
  <si>
    <t>WOF5</t>
  </si>
  <si>
    <t>2b</t>
  </si>
  <si>
    <t>[Cesarskie zakończenie] Po odpędzeniu niedźwiedzia petardą</t>
  </si>
  <si>
    <t>WOF6</t>
  </si>
  <si>
    <t>2c</t>
  </si>
  <si>
    <t>[Złe zakończenie] Pokonaj chłopów</t>
  </si>
  <si>
    <t>3c</t>
  </si>
  <si>
    <t>[Złe zakończenie] Pokonaj Prządke</t>
  </si>
  <si>
    <t>Zadanie Poboczne</t>
  </si>
  <si>
    <t>WOZP1</t>
  </si>
  <si>
    <t>Na łożu śmierci</t>
  </si>
  <si>
    <t>WOF1_S5</t>
  </si>
  <si>
    <t>WOF1_S4</t>
  </si>
  <si>
    <t>WOZP1_BLOCK</t>
  </si>
  <si>
    <t>WOZP1_S1</t>
  </si>
  <si>
    <t>WOZP2</t>
  </si>
  <si>
    <t>Zaginiony w akcji</t>
  </si>
  <si>
    <t>WOZP2_BLOCK</t>
  </si>
  <si>
    <t>WOZP2_S1</t>
  </si>
  <si>
    <t>WOZP3</t>
  </si>
  <si>
    <t>Cenna przesyłka</t>
  </si>
  <si>
    <t>WOZP3_BLOCK</t>
  </si>
  <si>
    <t>Oddać cenną przesyłkę kupcowi</t>
  </si>
  <si>
    <t>WOZP3_S1</t>
  </si>
  <si>
    <t>Wydać Geermera Czarnym/ Pozostawić kupca przy życiu i pozwolić odejść z przesyłką/ Pozwolić odejść żołnierzowi, ale bez skrzynki</t>
  </si>
  <si>
    <t>WOZP4</t>
  </si>
  <si>
    <t>Patelnia jak nowa</t>
  </si>
  <si>
    <t>WOZP4_BLOCK</t>
  </si>
  <si>
    <t>WOZP5</t>
  </si>
  <si>
    <t>Zabawy z ogniem</t>
  </si>
  <si>
    <t>Przyjmij łapówkę od Niepełki</t>
  </si>
  <si>
    <t>WOZP5_S1</t>
  </si>
  <si>
    <t>WOZP5_S2a</t>
  </si>
  <si>
    <t>Porozmawiaj z niepełką i użyj znaku Axii</t>
  </si>
  <si>
    <t>WOZP5_S2b</t>
  </si>
  <si>
    <t>po rozpoczęciu walki na pięści</t>
  </si>
  <si>
    <t>WOZP5_S2c</t>
  </si>
  <si>
    <t>Zlecenie wiedźmińskie</t>
  </si>
  <si>
    <t>WOZW1</t>
  </si>
  <si>
    <t>Zlecenie: Licho przy studni</t>
  </si>
  <si>
    <t>WOZW1_BLOCK</t>
  </si>
  <si>
    <t>WOZW1_S1</t>
  </si>
  <si>
    <t>Poszukiwania</t>
  </si>
  <si>
    <t>WOP1</t>
  </si>
  <si>
    <t>Temerskie precjoza</t>
  </si>
  <si>
    <t>WOP2</t>
  </si>
  <si>
    <t>Poszukiwania: Rynsztunek szkoły żmii</t>
  </si>
  <si>
    <t>WOP3</t>
  </si>
  <si>
    <t>Złoto dezerterów</t>
  </si>
  <si>
    <t>VZF1_S1</t>
  </si>
  <si>
    <t>VZF1</t>
  </si>
  <si>
    <t>Audiencja</t>
  </si>
  <si>
    <t>Vizima</t>
  </si>
  <si>
    <t>VZF1_S2</t>
  </si>
  <si>
    <t>VZF2_S1</t>
  </si>
  <si>
    <t>VZF2</t>
  </si>
  <si>
    <t>Towarzysze broni: Nilfgaard</t>
  </si>
  <si>
    <t>SF9_S1</t>
  </si>
  <si>
    <t>VF13_S2</t>
  </si>
  <si>
    <t>VZF2_BLOCK</t>
  </si>
  <si>
    <t>VZF2_S2</t>
  </si>
  <si>
    <t xml:space="preserve">Before </t>
  </si>
  <si>
    <t>VF1</t>
  </si>
  <si>
    <t>Nilfgardzki łącznik</t>
  </si>
  <si>
    <t>Velen</t>
  </si>
  <si>
    <t>VF1_BLOCK</t>
  </si>
  <si>
    <t>VF1_S1</t>
  </si>
  <si>
    <t>VF2</t>
  </si>
  <si>
    <t>Krwawy Baron</t>
  </si>
  <si>
    <t>VF1_S2</t>
  </si>
  <si>
    <t>VF2_BLOCK</t>
  </si>
  <si>
    <t>dostań się do warowni</t>
  </si>
  <si>
    <t>VF2_S1</t>
  </si>
  <si>
    <t>VF2_PATH_A</t>
  </si>
  <si>
    <t>dostań się do warowni po zapłaceniu datku starcowi</t>
  </si>
  <si>
    <t>VF2_PATH_B</t>
  </si>
  <si>
    <t>VF2_S2a/b</t>
  </si>
  <si>
    <t>VF3</t>
  </si>
  <si>
    <t>Sprawy Rodzinne</t>
  </si>
  <si>
    <t>VF2_S3</t>
  </si>
  <si>
    <t>po pierwszej rozmowie z Baronem</t>
  </si>
  <si>
    <t>VF3_S1</t>
  </si>
  <si>
    <t>po rozmowie z Baronem po przeszukanie pokojów</t>
  </si>
  <si>
    <t>VF4_S2</t>
  </si>
  <si>
    <t>4a</t>
  </si>
  <si>
    <t>Pozbądź się ludzi dręczących guślarza używając Axii</t>
  </si>
  <si>
    <t>VF3_S3</t>
  </si>
  <si>
    <t>VF3_BLOCK</t>
  </si>
  <si>
    <t>VF3_PATH_A</t>
  </si>
  <si>
    <t>4b</t>
  </si>
  <si>
    <t>Pozbądź się ludzi dręczących guślarza w inny sposób</t>
  </si>
  <si>
    <t>VF3_PATH_B</t>
  </si>
  <si>
    <t>po rozmowie z guślarzem o porońcu</t>
  </si>
  <si>
    <t>VF5_S2</t>
  </si>
  <si>
    <t>po pokonaniu Barona w walce na pięści</t>
  </si>
  <si>
    <t>VF3_S5</t>
  </si>
  <si>
    <t>VF3_BLOCK_2</t>
  </si>
  <si>
    <t>7a</t>
  </si>
  <si>
    <t xml:space="preserve">po zakopaniu porońca </t>
  </si>
  <si>
    <t>VF3_S6</t>
  </si>
  <si>
    <t>7b</t>
  </si>
  <si>
    <t>po odprawieniu przez guślarza rytuału</t>
  </si>
  <si>
    <t>po wyjściu z chaty rybaka</t>
  </si>
  <si>
    <t>VF3_S7a/b</t>
  </si>
  <si>
    <t>po rozmowie z Tamarą</t>
  </si>
  <si>
    <t>VF3_S8</t>
  </si>
  <si>
    <t>po rozmowie z Baronem o Annie i Evanie</t>
  </si>
  <si>
    <t>VF9_S4</t>
  </si>
  <si>
    <t>VF12_S2</t>
  </si>
  <si>
    <t>VF4</t>
  </si>
  <si>
    <t>Historia Ciri: Król wilków</t>
  </si>
  <si>
    <t>VF3_S2</t>
  </si>
  <si>
    <t>VF4_BLOCK</t>
  </si>
  <si>
    <t>VF4_S1</t>
  </si>
  <si>
    <t>VF5</t>
  </si>
  <si>
    <t>Na ratunek Księżniczce</t>
  </si>
  <si>
    <t>VF3_S4a/b</t>
  </si>
  <si>
    <t>VF5_BLOCK</t>
  </si>
  <si>
    <t>VF5_S1</t>
  </si>
  <si>
    <t>VF6</t>
  </si>
  <si>
    <t>Historia Ciri: Wyścig</t>
  </si>
  <si>
    <t>VF3_S10</t>
  </si>
  <si>
    <t>VF6_BLOCK</t>
  </si>
  <si>
    <t>VF6_S1</t>
  </si>
  <si>
    <t>VF7</t>
  </si>
  <si>
    <t>Polowanie na czarownicę</t>
  </si>
  <si>
    <t>VF7_BLOCK</t>
  </si>
  <si>
    <t>Użyj Axii na chłopie (axii lvl 2)</t>
  </si>
  <si>
    <t>VF7_S1</t>
  </si>
  <si>
    <t>VF7_PATH_A</t>
  </si>
  <si>
    <t>Daj chłopu 50 koron i zapłać za informacje</t>
  </si>
  <si>
    <t>VF7_PATH_B</t>
  </si>
  <si>
    <t>Znajdź czarownicę w inny sposób</t>
  </si>
  <si>
    <t>VF7_PATH_C</t>
  </si>
  <si>
    <t>VF7_S2a/b/c</t>
  </si>
  <si>
    <t>VF8</t>
  </si>
  <si>
    <t>Po omacku</t>
  </si>
  <si>
    <t>VF7_S3</t>
  </si>
  <si>
    <t>VF8_BLOCK</t>
  </si>
  <si>
    <t>Za zniczenie pierwszego gniazda szczurów</t>
  </si>
  <si>
    <t>VF8_S1</t>
  </si>
  <si>
    <t>Za zniczenie drugiego gniazda szczurów</t>
  </si>
  <si>
    <t>VF8_S2</t>
  </si>
  <si>
    <t>Po wejściu do sali z projekcją Avallac'ha mówiącą o Kelpie</t>
  </si>
  <si>
    <t>VF8_S3</t>
  </si>
  <si>
    <t>Po zniszczeniu szczelin przez które wydostawały się ogary Dzikiego Gonu</t>
  </si>
  <si>
    <t>VF8_S4</t>
  </si>
  <si>
    <t>Po pokonaniu Nithrala</t>
  </si>
  <si>
    <t>VF8_S5</t>
  </si>
  <si>
    <t xml:space="preserve">Zakończ zadanie </t>
  </si>
  <si>
    <t>VZB19_S2</t>
  </si>
  <si>
    <t>VF9</t>
  </si>
  <si>
    <t>Panie Lasu</t>
  </si>
  <si>
    <t>VF8_S7</t>
  </si>
  <si>
    <t>VF9_BLOCK</t>
  </si>
  <si>
    <t>po rozmowie z Jankiem przed jego jamą</t>
  </si>
  <si>
    <t>VF9_S1</t>
  </si>
  <si>
    <t>po rozmowie z wiedźmami w chacie</t>
  </si>
  <si>
    <t>VF9_S2</t>
  </si>
  <si>
    <t>po zakończeniu zadania</t>
  </si>
  <si>
    <t>VF11_S2</t>
  </si>
  <si>
    <t>VF10</t>
  </si>
  <si>
    <t>Szepczące Wzgórze</t>
  </si>
  <si>
    <t>VF9_S3</t>
  </si>
  <si>
    <t>VF10_BLOCK</t>
  </si>
  <si>
    <t>VF10_S1</t>
  </si>
  <si>
    <t>VF11</t>
  </si>
  <si>
    <t>Historia Ciri: Ucieczka z moczarów</t>
  </si>
  <si>
    <t>VF10_S2</t>
  </si>
  <si>
    <t>VF11_BLOCK</t>
  </si>
  <si>
    <t>VF11_S1</t>
  </si>
  <si>
    <t>VF12</t>
  </si>
  <si>
    <t>Historia Ciri: Wyjście z cienia</t>
  </si>
  <si>
    <t>VF12_BLOCK</t>
  </si>
  <si>
    <t>VF12_S1</t>
  </si>
  <si>
    <t>VF13</t>
  </si>
  <si>
    <t>Najbrzydszy człowiek na świecie</t>
  </si>
  <si>
    <t>VF9_S4|VF3_S11|NF9_S2|SF7NA_S2</t>
  </si>
  <si>
    <t>VF13_BLOCK</t>
  </si>
  <si>
    <t>VF13_S1</t>
  </si>
  <si>
    <t>VF14</t>
  </si>
  <si>
    <t>Towarzysze broni: Velen</t>
  </si>
  <si>
    <t>VF14_BLOCK</t>
  </si>
  <si>
    <t>VF14_S1</t>
  </si>
  <si>
    <t>VF15</t>
  </si>
  <si>
    <t>Łysa Góra</t>
  </si>
  <si>
    <t>KMF7_S2</t>
  </si>
  <si>
    <t>SF9_BLOCK</t>
  </si>
  <si>
    <t>Po znalezieniu monety</t>
  </si>
  <si>
    <t>VF15_S1</t>
  </si>
  <si>
    <t>Po zabiciu Imleritha</t>
  </si>
  <si>
    <t>VF15_S2</t>
  </si>
  <si>
    <t>Zadanie poboczne</t>
  </si>
  <si>
    <t>VZB1NA</t>
  </si>
  <si>
    <t>Atak na karawanę</t>
  </si>
  <si>
    <t>VZB1NA_BLOCK</t>
  </si>
  <si>
    <t>VZB1NA_S1</t>
  </si>
  <si>
    <t>VZB2NA</t>
  </si>
  <si>
    <t>Drób w opałach</t>
  </si>
  <si>
    <t>VZB2NA_BLOCK</t>
  </si>
  <si>
    <t>po rozmowie z dziećmi</t>
  </si>
  <si>
    <t>VZB2NA_S1</t>
  </si>
  <si>
    <t>VZB2NA_S2</t>
  </si>
  <si>
    <t>VZB3NA</t>
  </si>
  <si>
    <t>Dręczenie trolla</t>
  </si>
  <si>
    <t>VZB3NA_BLOCK</t>
  </si>
  <si>
    <t>VZB3NA_S1</t>
  </si>
  <si>
    <t>VZB4NA</t>
  </si>
  <si>
    <t>Fałszywe papiery</t>
  </si>
  <si>
    <t>VZB4NA_BLOCK</t>
  </si>
  <si>
    <t>Użyj znaku axii</t>
  </si>
  <si>
    <t>VZB4NA_S1</t>
  </si>
  <si>
    <t>VZB4NA_PATH_A</t>
  </si>
  <si>
    <t>Zdobądź papiery w inny sposób</t>
  </si>
  <si>
    <t>VZB4NA_PATH_B</t>
  </si>
  <si>
    <t>VZB4NA_S2a/b</t>
  </si>
  <si>
    <t>VZB5NA</t>
  </si>
  <si>
    <t>Gwint: Rozgrywki w Velen</t>
  </si>
  <si>
    <t>Wygraj unikatową kartę od Barona</t>
  </si>
  <si>
    <t>Wygraj unikatową kartę od wróża.</t>
  </si>
  <si>
    <t>VZB5NA_S1</t>
  </si>
  <si>
    <t>Wygraj unikatową kartę od szkutnika z wsi Rudnik</t>
  </si>
  <si>
    <t>VZB5NA_S2</t>
  </si>
  <si>
    <t>Wygraj unikatową kartę od Hadka z Podgajów</t>
  </si>
  <si>
    <t>VZB5NA_S3</t>
  </si>
  <si>
    <t>VZB6NA</t>
  </si>
  <si>
    <t>Na łasce obcych</t>
  </si>
  <si>
    <t>VZB6NA_BLOCK</t>
  </si>
  <si>
    <t>po rozwiązaniu Verduna</t>
  </si>
  <si>
    <t>VZB6NA_S1</t>
  </si>
  <si>
    <t>po zakończeniu zadania (Zabicie  verduna / przyjęcie pieniędzy od verduna)</t>
  </si>
  <si>
    <t>VZB6NA_S2</t>
  </si>
  <si>
    <t>VZB7NA</t>
  </si>
  <si>
    <t>Najlepszy przyjaciel człowieka</t>
  </si>
  <si>
    <t>VZB7NA_BLOCK</t>
  </si>
  <si>
    <t>Pomórz dzieciom i zakończ zadanie</t>
  </si>
  <si>
    <t>VZB7NA_S1</t>
  </si>
  <si>
    <t>VZB8NA</t>
  </si>
  <si>
    <t>Napad na trakcie</t>
  </si>
  <si>
    <t>VZB8NA_BLOCK</t>
  </si>
  <si>
    <t>VZB8NA_S1</t>
  </si>
  <si>
    <t>VZB9</t>
  </si>
  <si>
    <t>Niebezpieczny ładunek</t>
  </si>
  <si>
    <t>VZB9_BLOCK</t>
  </si>
  <si>
    <t>po spaleniu ciał</t>
  </si>
  <si>
    <t>VZB9_S1</t>
  </si>
  <si>
    <t>po zakończeniu pierwszej rozmowy z Gertem</t>
  </si>
  <si>
    <t>VZB9_S2</t>
  </si>
  <si>
    <t>za zabicie Gerta</t>
  </si>
  <si>
    <t>VZB9_S3</t>
  </si>
  <si>
    <t>VZB10NA</t>
  </si>
  <si>
    <t>Szabrownicy</t>
  </si>
  <si>
    <t>pierwsza grupa - pokonaj bandytów</t>
  </si>
  <si>
    <t>druga grupa - pokonaj alghule</t>
  </si>
  <si>
    <t>VZB10NA_S1</t>
  </si>
  <si>
    <t>trzecia grupa - pokonaj bandytów</t>
  </si>
  <si>
    <t>VZB10NA_S2</t>
  </si>
  <si>
    <t>VZB11NA</t>
  </si>
  <si>
    <t>Śmiertelna przeprawa</t>
  </si>
  <si>
    <t>Pierwsza grupa - Użyj znaku axii</t>
  </si>
  <si>
    <t xml:space="preserve">Druga grupa - Kup miecz </t>
  </si>
  <si>
    <t>VZB11NA_S1</t>
  </si>
  <si>
    <t>VZB12</t>
  </si>
  <si>
    <t>Wróżbita prawdę ci powie</t>
  </si>
  <si>
    <t>VZB12_BLOCK</t>
  </si>
  <si>
    <t>po pierwszej rozmowie z wróżem</t>
  </si>
  <si>
    <t>VZB12_S1</t>
  </si>
  <si>
    <t>VZB12_S2</t>
  </si>
  <si>
    <t>VZB13NA</t>
  </si>
  <si>
    <t>Wyścigi: Wrońce</t>
  </si>
  <si>
    <t>Pokonaj Maćka Jąkałe</t>
  </si>
  <si>
    <t>Pokonaj Hansa Żelazną Rzyć</t>
  </si>
  <si>
    <t>VZB13NA_S1</t>
  </si>
  <si>
    <t>Pokonaj Czarny Bogdan</t>
  </si>
  <si>
    <t>VZB13NA_S2</t>
  </si>
  <si>
    <t>VZB14NA</t>
  </si>
  <si>
    <t>Zmierz się ze mną!</t>
  </si>
  <si>
    <t>po pierwszej walce z Ronvidem</t>
  </si>
  <si>
    <t>po drugiej walce z Ronvidem</t>
  </si>
  <si>
    <t>VZB14NA_S1</t>
  </si>
  <si>
    <t>VZB14NA_S2</t>
  </si>
  <si>
    <t>VZB14NA_PATH_A</t>
  </si>
  <si>
    <t>po zakończeniu zadania z użyciem Axii (poziom sugestii 2)</t>
  </si>
  <si>
    <t>VZB14NA_PATH_B</t>
  </si>
  <si>
    <t>VZB15</t>
  </si>
  <si>
    <t>Stosy pogrzebowe</t>
  </si>
  <si>
    <t>VZB15_BLOCK</t>
  </si>
  <si>
    <t>za spalenie pierwszego stosu</t>
  </si>
  <si>
    <t>VZB15_S1</t>
  </si>
  <si>
    <t>za spalenie drugiego stosu</t>
  </si>
  <si>
    <t>VZB15_S2</t>
  </si>
  <si>
    <t>za spalenie trzeciego stosu</t>
  </si>
  <si>
    <t>VZB15_S3</t>
  </si>
  <si>
    <t>po rozmowie z ocalałym człowiekiem</t>
  </si>
  <si>
    <t>VZB15_S4</t>
  </si>
  <si>
    <t>VZB15_S5</t>
  </si>
  <si>
    <t>VZB16</t>
  </si>
  <si>
    <t>Pieskie życie</t>
  </si>
  <si>
    <t>VZB16_BLOCK</t>
  </si>
  <si>
    <t>VZB16_S1</t>
  </si>
  <si>
    <t>VZB17</t>
  </si>
  <si>
    <t>Pokój Ciri</t>
  </si>
  <si>
    <t>VZB17_BLOCK</t>
  </si>
  <si>
    <t>VZB17_S1</t>
  </si>
  <si>
    <t>VZB18</t>
  </si>
  <si>
    <t>Duchy przeszłości</t>
  </si>
  <si>
    <t>VZB23_S1</t>
  </si>
  <si>
    <t>VZB18_BLOCK</t>
  </si>
  <si>
    <t>VZB18_S1</t>
  </si>
  <si>
    <t>VZB19</t>
  </si>
  <si>
    <t>Magiczny kaganek</t>
  </si>
  <si>
    <t>VF8_S6</t>
  </si>
  <si>
    <t>VZB19_BLOCK</t>
  </si>
  <si>
    <t>VZB20</t>
  </si>
  <si>
    <t>Mysia wieża</t>
  </si>
  <si>
    <t>VZB24_S2</t>
  </si>
  <si>
    <t>VZB20_BLOCK</t>
  </si>
  <si>
    <t>zbadaj anomalie 1</t>
  </si>
  <si>
    <t>VZB20_S1</t>
  </si>
  <si>
    <t>zbadaj anomalie 2</t>
  </si>
  <si>
    <t>VZB20_S2</t>
  </si>
  <si>
    <t>zbadaj anomalie 3</t>
  </si>
  <si>
    <t>VZB20_S3</t>
  </si>
  <si>
    <t>zbadaj anomalie 4</t>
  </si>
  <si>
    <t>VZB20_S4</t>
  </si>
  <si>
    <t>zbadaj anomalie 5</t>
  </si>
  <si>
    <t>VZB20_S5</t>
  </si>
  <si>
    <t>zbadaj anomalie 6</t>
  </si>
  <si>
    <t>VZB20_S6</t>
  </si>
  <si>
    <t>po zobaczeniu ostatniej anomalii</t>
  </si>
  <si>
    <t>VZB20_S7</t>
  </si>
  <si>
    <t>po wejściu do laboratorium</t>
  </si>
  <si>
    <t>VZB20_S8</t>
  </si>
  <si>
    <t>10a</t>
  </si>
  <si>
    <t>po zakończeniu zadania (jeśli nie uwierzyliśmy Anabelle)</t>
  </si>
  <si>
    <t>VZB20_S9</t>
  </si>
  <si>
    <t>VZB20_PATH_A</t>
  </si>
  <si>
    <t>10b</t>
  </si>
  <si>
    <t>po zakończeniu zadania (jeśli uwierzyliśmy i zanieśliśmy jej kości Grahamowi)</t>
  </si>
  <si>
    <t>VZB20_PATH_B</t>
  </si>
  <si>
    <t>VZB21</t>
  </si>
  <si>
    <t>Przyjacielska przysługa</t>
  </si>
  <si>
    <t>VZB20_S10a/b</t>
  </si>
  <si>
    <t>VZB21_BLOCK</t>
  </si>
  <si>
    <t>po znalezieniu przesyłki Keiry</t>
  </si>
  <si>
    <t>VZB21_S1</t>
  </si>
  <si>
    <t>VZB21_S2</t>
  </si>
  <si>
    <t>VZB23</t>
  </si>
  <si>
    <t>Zagłada domu Reardonów</t>
  </si>
  <si>
    <t>VZB23_BLOCK</t>
  </si>
  <si>
    <t>za znalezienie skrytki Dolores</t>
  </si>
  <si>
    <t>po powiedzeniu Dolores o Humbercie i jego liście</t>
  </si>
  <si>
    <t>VZB23_S2</t>
  </si>
  <si>
    <t>VZB23_S3</t>
  </si>
  <si>
    <t>VZB24</t>
  </si>
  <si>
    <t>Zaproszenie od Keiry Metz</t>
  </si>
  <si>
    <t>VZB24_BLOCK</t>
  </si>
  <si>
    <t>VZB24_S1</t>
  </si>
  <si>
    <t>VZB25</t>
  </si>
  <si>
    <t>Złoto głupców</t>
  </si>
  <si>
    <t>VZB25_BLOCK</t>
  </si>
  <si>
    <t>VZB25_S1</t>
  </si>
  <si>
    <t>VZB26</t>
  </si>
  <si>
    <t>Dziady</t>
  </si>
  <si>
    <t>VZB26_BLOCK</t>
  </si>
  <si>
    <t>po zakończeniu obrzędu Dziadów</t>
  </si>
  <si>
    <t>VZB26_S1</t>
  </si>
  <si>
    <t>VZB26_S2</t>
  </si>
  <si>
    <t>VZB27</t>
  </si>
  <si>
    <t>Dzikość serca</t>
  </si>
  <si>
    <t>VZB27_BLOCK</t>
  </si>
  <si>
    <t>po zaakceptowaniu propozycji Anny (przestajemy poszukiwania)</t>
  </si>
  <si>
    <t>VZB27_S1</t>
  </si>
  <si>
    <t>VZB27_PATH_A</t>
  </si>
  <si>
    <t>2ab</t>
  </si>
  <si>
    <t>po przyjęciu nagrody od Niellena i zakończeniu zadania</t>
  </si>
  <si>
    <t>VZB27_S2a</t>
  </si>
  <si>
    <t>VZB27_PATH_AB</t>
  </si>
  <si>
    <t>2ac</t>
  </si>
  <si>
    <t>po odmowie przyjęcia nagrody od Niellena i zakończeniu zadania</t>
  </si>
  <si>
    <t>VZB27_PATH_AC</t>
  </si>
  <si>
    <t>1b</t>
  </si>
  <si>
    <t>Po zbadaniu sprawy do końca i zakończeniu zadania</t>
  </si>
  <si>
    <t>VZB27_PATH_B</t>
  </si>
  <si>
    <t>VZB28</t>
  </si>
  <si>
    <t>Opium dla ludu</t>
  </si>
  <si>
    <t>VZB28_BLOCK</t>
  </si>
  <si>
    <t>po rozmowie lub walce z silvanem</t>
  </si>
  <si>
    <t>VZB28_S1</t>
  </si>
  <si>
    <t>za końcową rozmowę z chłopami</t>
  </si>
  <si>
    <t>VZB28_S2</t>
  </si>
  <si>
    <t>za wspomnienie o piwnicy (możliwe tylko jeśli nie zabiło się „Wszechboga”)</t>
  </si>
  <si>
    <t>VZB28_S3</t>
  </si>
  <si>
    <t>VZB28_PATH_A</t>
  </si>
  <si>
    <t>nie wspominaj o piwnicy</t>
  </si>
  <si>
    <t>VZB28_PATH_B</t>
  </si>
  <si>
    <t>VZB29</t>
  </si>
  <si>
    <t>Przejścia nie ma</t>
  </si>
  <si>
    <t>VZB29_BLOCK</t>
  </si>
  <si>
    <t>VZB29_S1</t>
  </si>
  <si>
    <t>VZB30</t>
  </si>
  <si>
    <t>Samosąd</t>
  </si>
  <si>
    <t>VZB30_BLOCK</t>
  </si>
  <si>
    <t>VZB30_S1</t>
  </si>
  <si>
    <t>VZB31</t>
  </si>
  <si>
    <t>Dla dobra nauki</t>
  </si>
  <si>
    <t>VZB21_S3</t>
  </si>
  <si>
    <t>VZB31_BLOCK</t>
  </si>
  <si>
    <t>po odnalezieniu Keiry na Kłomnicy</t>
  </si>
  <si>
    <t>VZB31_S1</t>
  </si>
  <si>
    <t>Zakończ zadanie - wyślij Keire do kear morhen</t>
  </si>
  <si>
    <t>VZB31_S2</t>
  </si>
  <si>
    <t>VZB31_PATH_A</t>
  </si>
  <si>
    <t>Zakończ zadanie - pozwól Keirze pójść do radowida</t>
  </si>
  <si>
    <t>VZB31_PATH_B</t>
  </si>
  <si>
    <t>Zakończ zadanie - Zabij Keire</t>
  </si>
  <si>
    <t>VZB31_PATH_C</t>
  </si>
  <si>
    <t>VZB32</t>
  </si>
  <si>
    <t>Hieny cmentarne</t>
  </si>
  <si>
    <t>VZB32_BLOCK</t>
  </si>
  <si>
    <t>VZB32_S1</t>
  </si>
  <si>
    <t>VZB33</t>
  </si>
  <si>
    <t>Ostatnia posługa</t>
  </si>
  <si>
    <t>VZB33_BLOCK</t>
  </si>
  <si>
    <t>po położeniu obrączki na grobie</t>
  </si>
  <si>
    <t>VZB33_S1</t>
  </si>
  <si>
    <t>po użyciu magicznego kaganka</t>
  </si>
  <si>
    <t>VZB33_S2</t>
  </si>
  <si>
    <t>VZB33_S3</t>
  </si>
  <si>
    <t>VZB34</t>
  </si>
  <si>
    <t>Powrót na Krzywuchowe Moczary</t>
  </si>
  <si>
    <t>VF3_S11</t>
  </si>
  <si>
    <t>VZB34_BLOCK</t>
  </si>
  <si>
    <t>po pokonaniu biesa</t>
  </si>
  <si>
    <t>VZB34_S1</t>
  </si>
  <si>
    <t>po rozmowie z Jankiem (możliwe tylko jeśli Anna została przemieniona w babę wodną) i zakończeniu zadania</t>
  </si>
  <si>
    <t>VZB34_S2</t>
  </si>
  <si>
    <t>VZB34_PATH_A</t>
  </si>
  <si>
    <t>VZB34_PATH_B</t>
  </si>
  <si>
    <t>VZB35</t>
  </si>
  <si>
    <t>Dama w opałach</t>
  </si>
  <si>
    <t>VZB35_BLOCK</t>
  </si>
  <si>
    <t xml:space="preserve">Przyjąć nagrodę </t>
  </si>
  <si>
    <t>VZB35_S1</t>
  </si>
  <si>
    <t>VZB35_PATH_A</t>
  </si>
  <si>
    <t>Nie przyjmować pieniędzy</t>
  </si>
  <si>
    <t>VZB35_PATH_B</t>
  </si>
  <si>
    <t>VZB36</t>
  </si>
  <si>
    <t>Obrońca wiary</t>
  </si>
  <si>
    <t>VZB36_BLOCK</t>
  </si>
  <si>
    <t>po postawieniu pierwszej kapliczki</t>
  </si>
  <si>
    <t>VZB36_S1</t>
  </si>
  <si>
    <t>po postawieniu drugiej kapliczki</t>
  </si>
  <si>
    <t>VZB36_S2</t>
  </si>
  <si>
    <t xml:space="preserve"> po zakończeniu zadania</t>
  </si>
  <si>
    <t>VZB36_S3</t>
  </si>
  <si>
    <t>VZB37</t>
  </si>
  <si>
    <t>Śmierć w ogniu</t>
  </si>
  <si>
    <t>VZB37_BLOCK</t>
  </si>
  <si>
    <t>VZB37_S1</t>
  </si>
  <si>
    <t>VZB38</t>
  </si>
  <si>
    <t>Wiedźmin jak malowany</t>
  </si>
  <si>
    <t>VZW5_S2</t>
  </si>
  <si>
    <t>VZB38_BLOCK</t>
  </si>
  <si>
    <t>po znalezieniu „wiedźmina”</t>
  </si>
  <si>
    <t>VZB38_S1</t>
  </si>
  <si>
    <t>VZB38_S2</t>
  </si>
  <si>
    <t>VZB39</t>
  </si>
  <si>
    <t>Wściekłe pięści: Velen</t>
  </si>
  <si>
    <t xml:space="preserve"> za pokonanie Rybożera</t>
  </si>
  <si>
    <t xml:space="preserve"> za pokonanie Kowala</t>
  </si>
  <si>
    <t>VZB39_S1</t>
  </si>
  <si>
    <t>za pokonanie Jonasa</t>
  </si>
  <si>
    <t>VZB39_S2</t>
  </si>
  <si>
    <t>za pokonanie Sierżanta i zakończenie zadania</t>
  </si>
  <si>
    <t>VZB39_S3</t>
  </si>
  <si>
    <t>VZB40</t>
  </si>
  <si>
    <t>Więzy krwi</t>
  </si>
  <si>
    <t>VZB40_BLOCK</t>
  </si>
  <si>
    <t>VZB40_S1</t>
  </si>
  <si>
    <t>VZB41</t>
  </si>
  <si>
    <t>Ochotnik</t>
  </si>
  <si>
    <t>VZB41_BLOCK</t>
  </si>
  <si>
    <t>VZB41_S1</t>
  </si>
  <si>
    <t>VZB42</t>
  </si>
  <si>
    <t>W cieniu Wiecznego Ognia</t>
  </si>
  <si>
    <t>VZB42_BLOCK</t>
  </si>
  <si>
    <t>VZB42_S1</t>
  </si>
  <si>
    <t>VZB43</t>
  </si>
  <si>
    <t>Mistrz płatnerstwa</t>
  </si>
  <si>
    <t>VZB43_BLOCK</t>
  </si>
  <si>
    <t>VZW10_S2</t>
  </si>
  <si>
    <t>VZB44</t>
  </si>
  <si>
    <t>Bierz co chcesz</t>
  </si>
  <si>
    <t>VZB45_S3</t>
  </si>
  <si>
    <t>VZB44_BLOCK</t>
  </si>
  <si>
    <t>VZB44_S1</t>
  </si>
  <si>
    <t>VZB45</t>
  </si>
  <si>
    <t>Jak kot z wilkiem</t>
  </si>
  <si>
    <t>VZW11_S2</t>
  </si>
  <si>
    <t>VZB45_BLOCK</t>
  </si>
  <si>
    <t>po rozmowie z Miłką</t>
  </si>
  <si>
    <t>VZB45_S1</t>
  </si>
  <si>
    <t>VZB45_S2</t>
  </si>
  <si>
    <t>VZW1</t>
  </si>
  <si>
    <t>Zlecenie: Potwór z lasu</t>
  </si>
  <si>
    <t>VZW1_BLOCK</t>
  </si>
  <si>
    <t>VZW1_S1</t>
  </si>
  <si>
    <t>VZW2</t>
  </si>
  <si>
    <t>Zlecenie: Zaginiony patrol</t>
  </si>
  <si>
    <t>VZW2_BLOCK</t>
  </si>
  <si>
    <t>Zakończ zadanie - przyjmij pieniądze</t>
  </si>
  <si>
    <t>VZW2_S1</t>
  </si>
  <si>
    <t>VZW2_PATH_A</t>
  </si>
  <si>
    <t>Zakończ zadanie - nie przyjmuj pieniędzy</t>
  </si>
  <si>
    <t>VZW2_PATH_B</t>
  </si>
  <si>
    <t>VZW3</t>
  </si>
  <si>
    <t>Zlecenie: Skrzekacz</t>
  </si>
  <si>
    <t>VZW3_BLOCK</t>
  </si>
  <si>
    <t>VZW3_S1</t>
  </si>
  <si>
    <t>VZW3_PATH_A</t>
  </si>
  <si>
    <t>VZW3_PATH_B</t>
  </si>
  <si>
    <t>VZW4</t>
  </si>
  <si>
    <t>Zlecenie: Leśnica</t>
  </si>
  <si>
    <t>VZW4_BLOCK</t>
  </si>
  <si>
    <t>VZW4_S1</t>
  </si>
  <si>
    <t>VZW5</t>
  </si>
  <si>
    <t>Zlecenie: Kłopoty grabarza</t>
  </si>
  <si>
    <t>VZW5_BLOCK</t>
  </si>
  <si>
    <t>VZW5_S1</t>
  </si>
  <si>
    <t>VZW6</t>
  </si>
  <si>
    <t>Zlecenie: Potwór z bagien</t>
  </si>
  <si>
    <t>VZW6_BLOCK</t>
  </si>
  <si>
    <t>VZW6_S1</t>
  </si>
  <si>
    <t>VZW7</t>
  </si>
  <si>
    <t>Zlecenie: Tajemnicze ślady</t>
  </si>
  <si>
    <t>VZW7_BLOCK</t>
  </si>
  <si>
    <t>VZW7_S1</t>
  </si>
  <si>
    <t>VZW8</t>
  </si>
  <si>
    <t>Zlecenie: Tajemnica wsi Stegny</t>
  </si>
  <si>
    <t>VZW8_BLOCK</t>
  </si>
  <si>
    <t>VZW8_S1</t>
  </si>
  <si>
    <t>VZW9</t>
  </si>
  <si>
    <t>Zlecenie: Zmora kupieckiego traktu</t>
  </si>
  <si>
    <t>VZW9_BLOCK</t>
  </si>
  <si>
    <t>VZW9_S1</t>
  </si>
  <si>
    <t>VZW10</t>
  </si>
  <si>
    <t>Zlecenie: Gryf na wzgórzach</t>
  </si>
  <si>
    <t>SF1_S3|VF3_S3</t>
  </si>
  <si>
    <t>VZW10_BLOCK</t>
  </si>
  <si>
    <t>VZW10_S1</t>
  </si>
  <si>
    <t>VZW11</t>
  </si>
  <si>
    <t>Zlecenie: Bestia z Dobrowa</t>
  </si>
  <si>
    <t>VZW11_BLOCK</t>
  </si>
  <si>
    <t>VZW11_S1</t>
  </si>
  <si>
    <t>VZW12</t>
  </si>
  <si>
    <t>Zlecenie: Zaginiony brat</t>
  </si>
  <si>
    <t>VZW12_BLOCK</t>
  </si>
  <si>
    <t>Zakończ zadanie - powiedzieć, że ryzykował życie</t>
  </si>
  <si>
    <t>VZW12_S1</t>
  </si>
  <si>
    <t>VZW12_PATH_A</t>
  </si>
  <si>
    <t>Zakończ zadanie - użyć znaku aksji i odebrać całą nagrodę</t>
  </si>
  <si>
    <t>VZW12_PATH_B</t>
  </si>
  <si>
    <t>Zakończ zadanie - nie upominać się o zapłatę</t>
  </si>
  <si>
    <t>VZW12_PATH_C</t>
  </si>
  <si>
    <t>Serce z kamienia</t>
  </si>
  <si>
    <t>SZKF1</t>
  </si>
  <si>
    <t>Miłe złego początki…</t>
  </si>
  <si>
    <t>SZKF1_BLOCK</t>
  </si>
  <si>
    <t>po pokonaniu Dzikiego w walce na pięści</t>
  </si>
  <si>
    <t>SZKF1_S1</t>
  </si>
  <si>
    <t>SZKF1_PATH_A</t>
  </si>
  <si>
    <t>po przegadaniu kompanii</t>
  </si>
  <si>
    <t>SZKF1_PATH_B</t>
  </si>
  <si>
    <t>po przyjęciu zlecenia na potwora z kanałów</t>
  </si>
  <si>
    <t>SZKF1_S2a/b</t>
  </si>
  <si>
    <t>po pokonaniu Królewicza ropucha</t>
  </si>
  <si>
    <t>SZKF1_S3</t>
  </si>
  <si>
    <t>SZKF1_BLOCK_1</t>
  </si>
  <si>
    <t>za wybranie prawidłowej kwestii w ofirskim na statku</t>
  </si>
  <si>
    <t>SZKF1_S4</t>
  </si>
  <si>
    <t>za wybranie nieprawidłowej kwestii w ofirskim na statku</t>
  </si>
  <si>
    <t>po pokonaniu Ofirczyków</t>
  </si>
  <si>
    <t>SZKF1_S5a/b</t>
  </si>
  <si>
    <t>po rozmowie z O'Dimem pod Jantrą</t>
  </si>
  <si>
    <t>SZKF1_S6</t>
  </si>
  <si>
    <t>SZKF1_S7</t>
  </si>
  <si>
    <t>SZKF2</t>
  </si>
  <si>
    <t>Hulaj dusza!</t>
  </si>
  <si>
    <t>SZKF1_S8</t>
  </si>
  <si>
    <t>SZKF2_BLOCK</t>
  </si>
  <si>
    <t>po rozmowie z Shani w jej klinice</t>
  </si>
  <si>
    <t>SZKF2_S1</t>
  </si>
  <si>
    <t>po rozmowie z Witoldem i Shani w krypcie</t>
  </si>
  <si>
    <t>SZKF2_S2</t>
  </si>
  <si>
    <t>SZKF2_BLOCK_1</t>
  </si>
  <si>
    <t>na początku wesela</t>
  </si>
  <si>
    <t>SZKF2_S3</t>
  </si>
  <si>
    <t xml:space="preserve">po wygranej w gwinta (50 po przegranej) </t>
  </si>
  <si>
    <t>SZKF2_S4</t>
  </si>
  <si>
    <t>po zagonieniu świń do chlewa (50 w razie użycia Axii)</t>
  </si>
  <si>
    <t>SZKF2_S5</t>
  </si>
  <si>
    <t>po pokonaniu braci dziewczyny (50 w razie przegrania walki)</t>
  </si>
  <si>
    <t>SZKF2_S6</t>
  </si>
  <si>
    <t>po wyłowieniu buta Shani (50 jeśli wyłowiliśmy wszystkie trzy buty)</t>
  </si>
  <si>
    <t>SZKF2_S7</t>
  </si>
  <si>
    <t>po występie odnalezionego połykacza ognia (alternatywnie 50 po poinformowaniu gospodarzy o ucieczce połykacza i 150 po żonglowaniu)</t>
  </si>
  <si>
    <t>SZKF2_S8</t>
  </si>
  <si>
    <t>po rozmowie Witolda z Gaunterem o'Dimem podczas wesela</t>
  </si>
  <si>
    <t>SZKF2_S9</t>
  </si>
  <si>
    <t>po odejściu Witolda z ciała Geralta i rozmowie z o'Dimem</t>
  </si>
  <si>
    <t>SZKF2_S10</t>
  </si>
  <si>
    <t>po rozmowie z Olgierdem i zakończeniu zadania</t>
  </si>
  <si>
    <t>SZKZP7_S2</t>
  </si>
  <si>
    <t>SZKF3</t>
  </si>
  <si>
    <t>Sezamie, otwórz się!</t>
  </si>
  <si>
    <t>SZKF3_BLOCK</t>
  </si>
  <si>
    <t>po rozmowie z Vivaldim po wejściu do domu aukcyjnego</t>
  </si>
  <si>
    <t>SZKF3_S1</t>
  </si>
  <si>
    <t>po rozmowie z hrabiną Mignole o Vesemirze</t>
  </si>
  <si>
    <t>SZKF3_S2</t>
  </si>
  <si>
    <t>po wygraniu w gwinta z Hilbertem</t>
  </si>
  <si>
    <t>SZKF3_S3</t>
  </si>
  <si>
    <t>po wskazaniu prawidłowego obrazu i rozmowie z Yaromirem</t>
  </si>
  <si>
    <t>SZKF3_S4</t>
  </si>
  <si>
    <t>po rozmowie z Ewaldem przed domem aukcyjnym</t>
  </si>
  <si>
    <t>SZKF3_S5</t>
  </si>
  <si>
    <t>po pierwszej rozmowie z Ewaldem w chacie zielarza</t>
  </si>
  <si>
    <t>SZKF3_S6</t>
  </si>
  <si>
    <t>po naradzie u zielarza przed napadem na dom aukcyjny</t>
  </si>
  <si>
    <t>SZKF6_S3|SZKF5_S3|SZKF4_S3</t>
  </si>
  <si>
    <t>SZKF3_BLOCK_1</t>
  </si>
  <si>
    <t>po otwarciu drzwi do skarbca</t>
  </si>
  <si>
    <t>SZKF3_S8</t>
  </si>
  <si>
    <t>po zabraniu Domu Maksymiliana Borsody'ego</t>
  </si>
  <si>
    <t>SZKF3_S9</t>
  </si>
  <si>
    <t>po wyjściu ze skarbca ukrytym przejściem</t>
  </si>
  <si>
    <t>SZKF3_S10</t>
  </si>
  <si>
    <t>SZKF3_S11</t>
  </si>
  <si>
    <t>SZKF4</t>
  </si>
  <si>
    <t>Sezamie, otwórz się: Kasiarz</t>
  </si>
  <si>
    <t>SZKF3_S7</t>
  </si>
  <si>
    <t>SZKF4_BLOCK</t>
  </si>
  <si>
    <t>Axii na casimirze / Zapłacić za kasiarza</t>
  </si>
  <si>
    <t>SZKF4_S1</t>
  </si>
  <si>
    <t>SZKF4_S2</t>
  </si>
  <si>
    <t>SZKF5</t>
  </si>
  <si>
    <t>Sezamie, otwórz się: Wiedźmińskie przyprawy</t>
  </si>
  <si>
    <t>SZKF5_BLOCK</t>
  </si>
  <si>
    <t>Użyj znaki Axii na kucharzu</t>
  </si>
  <si>
    <t>SZKF5_S1</t>
  </si>
  <si>
    <t>SZKF5_PATH_A</t>
  </si>
  <si>
    <t>Zapłać kucharzowi całą kwotę</t>
  </si>
  <si>
    <t>SZKF5_PATH_B</t>
  </si>
  <si>
    <t>SZKF5_S2a/b</t>
  </si>
  <si>
    <t>SZKF6</t>
  </si>
  <si>
    <t>Sezamie, otwórz się: Włamywacz</t>
  </si>
  <si>
    <t>SZKF6_BLOCK</t>
  </si>
  <si>
    <t>po odnalezieniu ciała Hugo Hoffa</t>
  </si>
  <si>
    <t>SZKF6_S1</t>
  </si>
  <si>
    <t>po zwerbowaniu Eveline i zakończeniu zadania</t>
  </si>
  <si>
    <t>SZKF6_S2</t>
  </si>
  <si>
    <t>SZKF7</t>
  </si>
  <si>
    <t>Żyli długo i szczęśliwie</t>
  </si>
  <si>
    <t>SZKF3_S12|SZKF2_S12</t>
  </si>
  <si>
    <t>SZKF7_BLOCK</t>
  </si>
  <si>
    <t>po pokonaniu Klucznika</t>
  </si>
  <si>
    <t>SZKF7_S1</t>
  </si>
  <si>
    <t>po pokonaniu Upiora z obrazów</t>
  </si>
  <si>
    <t>SZKF7_S2</t>
  </si>
  <si>
    <t>po zbadaniu ciała Iris</t>
  </si>
  <si>
    <t>SZKF7_S3</t>
  </si>
  <si>
    <t>za każde obejrzane wspomnienie Iris (łącznie jest osiem wspomnień)</t>
  </si>
  <si>
    <t>SZKF7_S4</t>
  </si>
  <si>
    <t>po ucieczce przez obraz z płonącej pracowni Olgierda</t>
  </si>
  <si>
    <t>SZKF7_S5</t>
  </si>
  <si>
    <t>po pokonaniu Największego lęku Iris von Everec</t>
  </si>
  <si>
    <t>SZKF7_S6</t>
  </si>
  <si>
    <t>SZKF7_S7</t>
  </si>
  <si>
    <t>SZKF8</t>
  </si>
  <si>
    <t>Kto sieje wiatr…</t>
  </si>
  <si>
    <t>SZKF7_S8</t>
  </si>
  <si>
    <t>SZKF8_BLOCK</t>
  </si>
  <si>
    <t>Zakończ zadanie - oddaj dusze olgierda odimowi</t>
  </si>
  <si>
    <t>SZKF8_S1</t>
  </si>
  <si>
    <t>SZKF8_PATH_A</t>
  </si>
  <si>
    <t>Zakończ zadanie - pomagamy olgierdowi</t>
  </si>
  <si>
    <t>SZKF8_PATH_B</t>
  </si>
  <si>
    <t>3aa</t>
  </si>
  <si>
    <t>Zakończ zadanie - Odmawiamy nagrody od odima</t>
  </si>
  <si>
    <t>3ab</t>
  </si>
  <si>
    <t>SZKZP1</t>
  </si>
  <si>
    <t>Bez śladu</t>
  </si>
  <si>
    <t>SZKZP1_BLOCK</t>
  </si>
  <si>
    <t>nie badamy sprawy</t>
  </si>
  <si>
    <t>SZKZP1_S1</t>
  </si>
  <si>
    <t>SZKZP1_PATH_A</t>
  </si>
  <si>
    <t>badamy sprawe i znajdujemy niziołka</t>
  </si>
  <si>
    <t>SZKZP1_PATH_B</t>
  </si>
  <si>
    <t>SZKZP2</t>
  </si>
  <si>
    <t>Płać i płacz</t>
  </si>
  <si>
    <t>SZKZP2_BLOCK</t>
  </si>
  <si>
    <t>Zakończ zadanie jako praworządny obywatel</t>
  </si>
  <si>
    <t>SZKZP2_S1</t>
  </si>
  <si>
    <t>SZKZP2_PATH_A</t>
  </si>
  <si>
    <t>Zakończ zadanie jako podatko płatnik</t>
  </si>
  <si>
    <t>SZKZP2_PATH_B</t>
  </si>
  <si>
    <t>SZKZP3</t>
  </si>
  <si>
    <t>Wyścigi: Jak zachodni wiatr</t>
  </si>
  <si>
    <t>SZKZP3_BLOCK</t>
  </si>
  <si>
    <t>SZKZP3_S1</t>
  </si>
  <si>
    <t>SZKZP4</t>
  </si>
  <si>
    <t>Zaklinanie: Na dobry początek</t>
  </si>
  <si>
    <t>SZKZP4_BLOCK</t>
  </si>
  <si>
    <t>SZKZP4_S1</t>
  </si>
  <si>
    <t>SZKZP5</t>
  </si>
  <si>
    <t>Zaklinanie: Jakość kosztuje</t>
  </si>
  <si>
    <t>SZKZP4_S2</t>
  </si>
  <si>
    <t>SZKZP5_BLOCK</t>
  </si>
  <si>
    <t>po przyniesieniu zaklinaczowi nefrytu</t>
  </si>
  <si>
    <t>SZKZP5_S1</t>
  </si>
  <si>
    <t>po zapłaceniu 10 000 koron za ulepszone narzędzia</t>
  </si>
  <si>
    <t>SZKZP5_S2</t>
  </si>
  <si>
    <t>po zapłaceniu 15 000 koron za mistrzowskie narzędzia</t>
  </si>
  <si>
    <t>SZKZP5_S3</t>
  </si>
  <si>
    <t>SZKZP6</t>
  </si>
  <si>
    <t>Róża na czerwonym polu</t>
  </si>
  <si>
    <t>SZKZP6_BLOCK</t>
  </si>
  <si>
    <t>Użyj znaku Axii na strażnikach</t>
  </si>
  <si>
    <t>SZKZP6_S1</t>
  </si>
  <si>
    <t>SZKZP6_PATH_A</t>
  </si>
  <si>
    <t>Zapłać strażnikom 1000 koron</t>
  </si>
  <si>
    <t>SZKZP6_PATH_B</t>
  </si>
  <si>
    <t>SZKZP6_S2a/b</t>
  </si>
  <si>
    <t>SZKZP7</t>
  </si>
  <si>
    <t>W księżycową jasną noc</t>
  </si>
  <si>
    <t>SZKF2_S11</t>
  </si>
  <si>
    <t>SZKZP7_BLOCK</t>
  </si>
  <si>
    <t>SZKZP7_S1</t>
  </si>
  <si>
    <t>SZKZP8</t>
  </si>
  <si>
    <t>Kolekcjoner</t>
  </si>
  <si>
    <t>SZKZP8_BLOCK</t>
  </si>
  <si>
    <t>SZKZP8_S1</t>
  </si>
  <si>
    <t>Description</t>
  </si>
  <si>
    <t>NF1</t>
  </si>
  <si>
    <t>Stosy Novigradu</t>
  </si>
  <si>
    <t>Novigrad</t>
  </si>
  <si>
    <t>NF1_BLOCK</t>
  </si>
  <si>
    <t>Użyj Axii na strażniku zgniłego gaju</t>
  </si>
  <si>
    <t>NF1_S1</t>
  </si>
  <si>
    <t>NF1_PATH_A</t>
  </si>
  <si>
    <t>Zapłać strażnikowi zgniłego gaju</t>
  </si>
  <si>
    <t>NF1_PATH_B</t>
  </si>
  <si>
    <t>Znajdź inny sposób na wejście do zgniłego gaju</t>
  </si>
  <si>
    <t>NF1_PATH_C</t>
  </si>
  <si>
    <t>po wejściu do Zgniłego Gaju</t>
  </si>
  <si>
    <t>NF1_S2a/b/c</t>
  </si>
  <si>
    <t>NF1_BLOCK_1</t>
  </si>
  <si>
    <t>NF1_S3</t>
  </si>
  <si>
    <t>NF2</t>
  </si>
  <si>
    <t>Sen w wielkim mieście</t>
  </si>
  <si>
    <t>NF1_S4</t>
  </si>
  <si>
    <t>NF2_BLOCK</t>
  </si>
  <si>
    <t>Zakończ zadanie (sara zostaje w domu)</t>
  </si>
  <si>
    <t>NF2_S1</t>
  </si>
  <si>
    <t>NF2_PATH_A</t>
  </si>
  <si>
    <t>Zakończ zadanie (wygnaliśmy sare)</t>
  </si>
  <si>
    <t>NF2_PATH_B</t>
  </si>
  <si>
    <t>za odbiór prowizji od de Jonkheera</t>
  </si>
  <si>
    <t>NF2_S2b</t>
  </si>
  <si>
    <t>NF3</t>
  </si>
  <si>
    <t>Spis cudzołużnic</t>
  </si>
  <si>
    <t>NF2_S2a/b</t>
  </si>
  <si>
    <t>NF3_BLOCK</t>
  </si>
  <si>
    <t>po przeczytaniu terminarza Jaskra</t>
  </si>
  <si>
    <t>NF3_S1</t>
  </si>
  <si>
    <t>po rozmowie z pierwszą dziewczyną</t>
  </si>
  <si>
    <t>NF3_S2</t>
  </si>
  <si>
    <t>po rozmowie z Vespulą</t>
  </si>
  <si>
    <t>NF3_S3</t>
  </si>
  <si>
    <t>Zapłać haracz za Vespule</t>
  </si>
  <si>
    <t>NF3_S4</t>
  </si>
  <si>
    <t>NF3_PATH_A</t>
  </si>
  <si>
    <t>Obroń Vespule w inny sposób</t>
  </si>
  <si>
    <t>NF3_PATH_B</t>
  </si>
  <si>
    <t>po rozmowie z Elihalem</t>
  </si>
  <si>
    <t>NF3_S5a/b</t>
  </si>
  <si>
    <t>po rozmowie z Marabellą</t>
  </si>
  <si>
    <t>NF3_S6</t>
  </si>
  <si>
    <t>po rozmowie z Molly</t>
  </si>
  <si>
    <t>NF3_S7</t>
  </si>
  <si>
    <t>po rozmowie z Rosą i Edną</t>
  </si>
  <si>
    <t>NF3_S8</t>
  </si>
  <si>
    <t>po rozmowie z Priscillą i zakończeniu zadania</t>
  </si>
  <si>
    <t>NF3_S9</t>
  </si>
  <si>
    <t>NF4</t>
  </si>
  <si>
    <t>Dorwać Juniora</t>
  </si>
  <si>
    <t>NF3_S10</t>
  </si>
  <si>
    <t>NF4_BLOCK</t>
  </si>
  <si>
    <t>po rozmowie z Dijkstrą o możliwych miejscach pobytu Juniora</t>
  </si>
  <si>
    <t>NF4_S1</t>
  </si>
  <si>
    <t>Po użyciu Axii na strażnikach areny</t>
  </si>
  <si>
    <t>NF4_S2</t>
  </si>
  <si>
    <t>NF4_PATH_A</t>
  </si>
  <si>
    <t>Po zapłaceniu łapówki strażnikom areny</t>
  </si>
  <si>
    <t>NF4_PATH_B</t>
  </si>
  <si>
    <t>Po użyciu Axii na strażnikach kasyna</t>
  </si>
  <si>
    <t>NF4_S3a</t>
  </si>
  <si>
    <t>Po zapłaceniu łapówki strażnikom kasyna</t>
  </si>
  <si>
    <t>NF4_S3b</t>
  </si>
  <si>
    <t>po przeczytaniu listu Redańczyków do Juniora</t>
  </si>
  <si>
    <t>NF4_S4a/b</t>
  </si>
  <si>
    <t>po pierwszej rozmowie z Vernonem Rochem</t>
  </si>
  <si>
    <t>NF4_S5</t>
  </si>
  <si>
    <t>po rozmowie z Radowidem w klubie szachowym</t>
  </si>
  <si>
    <t>NF4_S6</t>
  </si>
  <si>
    <t>po zabiciu lub oszczędzeniu Juniora</t>
  </si>
  <si>
    <t>NF4_S7</t>
  </si>
  <si>
    <t>NF5</t>
  </si>
  <si>
    <t>Historia Ciri: Z wizytą u Juniora</t>
  </si>
  <si>
    <t>NF4_S8</t>
  </si>
  <si>
    <t>NF5_BLOCK</t>
  </si>
  <si>
    <t>NF5_S1</t>
  </si>
  <si>
    <t>NF6</t>
  </si>
  <si>
    <t>Przysługa dla Radowida</t>
  </si>
  <si>
    <t>NF5_S2</t>
  </si>
  <si>
    <t>NF6_S1</t>
  </si>
  <si>
    <t>NF7</t>
  </si>
  <si>
    <t>Skarb Hrabiego Reuvena</t>
  </si>
  <si>
    <t>NF6_S2</t>
  </si>
  <si>
    <t>NF7_BLOCK</t>
  </si>
  <si>
    <t>po rozmowie z Dijkstrą po przeszukaniu kanałów</t>
  </si>
  <si>
    <t>NF7_S1</t>
  </si>
  <si>
    <t>po zbadaniu basenu</t>
  </si>
  <si>
    <t>NF7_S2</t>
  </si>
  <si>
    <t>po znalezieniu wiadomości od Dudu</t>
  </si>
  <si>
    <t>NF7_S3</t>
  </si>
  <si>
    <t>po zabiciu Mengego (Plan Triss)</t>
  </si>
  <si>
    <t>NF7_S4</t>
  </si>
  <si>
    <t>NF7_BLOCK_1</t>
  </si>
  <si>
    <t>NF7_PATH_A</t>
  </si>
  <si>
    <t>6a</t>
  </si>
  <si>
    <t>po rozmowie z Dijkstrą (Plan Triss)</t>
  </si>
  <si>
    <t>NF7_S5a</t>
  </si>
  <si>
    <t>po zabiciu Mengego (Nie według planu Triss)</t>
  </si>
  <si>
    <t>NF7_PATH_B</t>
  </si>
  <si>
    <t>6b</t>
  </si>
  <si>
    <t>po rozmowie z Dijkstrą (Nie według planu Triss)</t>
  </si>
  <si>
    <t>NF7_S5b</t>
  </si>
  <si>
    <t>po spotkaniu z Jamurlakiem (Nie według planu Triss)</t>
  </si>
  <si>
    <t>NF7_S6b</t>
  </si>
  <si>
    <t>NF8</t>
  </si>
  <si>
    <t>Niech żyje sztuka</t>
  </si>
  <si>
    <t>NF7_S7b</t>
  </si>
  <si>
    <t>NF8_BLOCK</t>
  </si>
  <si>
    <t>po napisaniu sztuki przez Priscillę</t>
  </si>
  <si>
    <t>NF8_S1</t>
  </si>
  <si>
    <t>po zwerbowaniu Maskonurów</t>
  </si>
  <si>
    <t>NF8_S2</t>
  </si>
  <si>
    <t>po zakończeniu przedstawienia lub pokonaniu mieszczan (ukończenie zadania - 50, wybór abelarda - 110, wypowiedzenie wszystkich prawidłowo kwestii - 150, Axii przy maskonurach - 40, wygraj na pięści - 25)</t>
  </si>
  <si>
    <t>NF8_S3</t>
  </si>
  <si>
    <t>NF9</t>
  </si>
  <si>
    <t>Poeta w opałach</t>
  </si>
  <si>
    <t>NF8_S4</t>
  </si>
  <si>
    <t>NF9_BLOCK</t>
  </si>
  <si>
    <t>NF9_S1</t>
  </si>
  <si>
    <t>NF10</t>
  </si>
  <si>
    <t>Historia Ciri: Na złamanie karku</t>
  </si>
  <si>
    <t>NF9_S2</t>
  </si>
  <si>
    <t>NF10_BLOCK</t>
  </si>
  <si>
    <t>NF10_S1</t>
  </si>
  <si>
    <t>NF11</t>
  </si>
  <si>
    <t>Towarzysze broni: Novigrad</t>
  </si>
  <si>
    <t>NF11_BLOCK</t>
  </si>
  <si>
    <t>Jak nie uzyskamy pomocy od Dijkstry</t>
  </si>
  <si>
    <t>NF11_S1</t>
  </si>
  <si>
    <t>NF11_PATH_A</t>
  </si>
  <si>
    <t>po uzyskaniu pomocy od Dijkstry</t>
  </si>
  <si>
    <t>NF11_PATH_B</t>
  </si>
  <si>
    <t>NF12</t>
  </si>
  <si>
    <t>Ostatnie przygotowania</t>
  </si>
  <si>
    <t>NF11_S2a/b</t>
  </si>
  <si>
    <t>NF12_BLOCK</t>
  </si>
  <si>
    <t>NF12_S1</t>
  </si>
  <si>
    <t>NF13</t>
  </si>
  <si>
    <t>Przez czas i przestrzeń</t>
  </si>
  <si>
    <t>NF12_S2</t>
  </si>
  <si>
    <t>NF13_BLOCK</t>
  </si>
  <si>
    <t>po rozmowie z Avallachem w latarni</t>
  </si>
  <si>
    <t>NF13_S1</t>
  </si>
  <si>
    <t>NF13_S2</t>
  </si>
  <si>
    <t>NF13_S3</t>
  </si>
  <si>
    <t>NF14</t>
  </si>
  <si>
    <t>Wielka ucieczka</t>
  </si>
  <si>
    <t>NF13_S4</t>
  </si>
  <si>
    <t>NF14_BLOCK</t>
  </si>
  <si>
    <t>po rozmowie z Abbe Farią</t>
  </si>
  <si>
    <t>NF14_S1</t>
  </si>
  <si>
    <t>po uwolnieniu Margarity</t>
  </si>
  <si>
    <t>NF14_S2</t>
  </si>
  <si>
    <t>NF14_S3</t>
  </si>
  <si>
    <t>NF15</t>
  </si>
  <si>
    <t>Wyrównanie rachunków</t>
  </si>
  <si>
    <t>NF14_S4</t>
  </si>
  <si>
    <t>NF15_BLOCK</t>
  </si>
  <si>
    <t>po spotkaniu z Dudu lub z Juniorem</t>
  </si>
  <si>
    <t>NF15_S1</t>
  </si>
  <si>
    <t xml:space="preserve"> po spotkaniu z Beą</t>
  </si>
  <si>
    <t>NF15_S2</t>
  </si>
  <si>
    <t>NF15_S3</t>
  </si>
  <si>
    <t>NF16</t>
  </si>
  <si>
    <t>Najciemniej pod latarnią</t>
  </si>
  <si>
    <t>NF15_S4</t>
  </si>
  <si>
    <t>NF16_BLOCK</t>
  </si>
  <si>
    <t>NF16_S1</t>
  </si>
  <si>
    <t>NF17</t>
  </si>
  <si>
    <t>Serce nie sługa</t>
  </si>
  <si>
    <t>NF16_S2</t>
  </si>
  <si>
    <t>NF17_BLOCK</t>
  </si>
  <si>
    <t>NF17_S1</t>
  </si>
  <si>
    <t>NF18</t>
  </si>
  <si>
    <t>Ostatnia przysługa</t>
  </si>
  <si>
    <t>NF17_S2</t>
  </si>
  <si>
    <t>NF18_BLOCK</t>
  </si>
  <si>
    <t>Użyj Axii na strażniku</t>
  </si>
  <si>
    <t>VZB31_S3</t>
  </si>
  <si>
    <t>NZB1NA</t>
  </si>
  <si>
    <t>Cena przejścia</t>
  </si>
  <si>
    <t>NZB1NA_BLOCK</t>
  </si>
  <si>
    <t>zapłać za pierwszym razem 50 koron</t>
  </si>
  <si>
    <t>NZB1NA_S1</t>
  </si>
  <si>
    <t>Za drugim razem odmów zapłaty strażnikom</t>
  </si>
  <si>
    <t>NZB1NA_S2</t>
  </si>
  <si>
    <t>Użyj axii na strażnikach</t>
  </si>
  <si>
    <t>NZB1NA_S3</t>
  </si>
  <si>
    <t>NZB1NA_S4</t>
  </si>
  <si>
    <t>NZB3NA</t>
  </si>
  <si>
    <t>Gwint: Partyjka z Talarem</t>
  </si>
  <si>
    <t>NZB3NA_BLOCK</t>
  </si>
  <si>
    <t>Wygraj z Talarem w gwinta</t>
  </si>
  <si>
    <t>NZB3NA_S1</t>
  </si>
  <si>
    <t>NZB4NA</t>
  </si>
  <si>
    <t>Gwint: Partyjki z karczmarzami</t>
  </si>
  <si>
    <t>NZB4NA_BLOCK</t>
  </si>
  <si>
    <t>Wygraj unikatową kartę od karczmarza Stjepana</t>
  </si>
  <si>
    <t>NZB4NA_S1</t>
  </si>
  <si>
    <t>Wygraj unikatową kartę od Oliviera</t>
  </si>
  <si>
    <t>NZB4NA_S2</t>
  </si>
  <si>
    <t>Wygraj unikatową kartę od karczmarza z Karczmy na Rozstajach</t>
  </si>
  <si>
    <t>NZB4NA_S3</t>
  </si>
  <si>
    <t>NZB5NA</t>
  </si>
  <si>
    <t>Gwint: Rozgrywki w Novigradzie</t>
  </si>
  <si>
    <t>NZB5NA_BLOCK</t>
  </si>
  <si>
    <t>Wygraj unikatową kartę od Vimmego Vivaldiego.</t>
  </si>
  <si>
    <t>NZB5NA_S1</t>
  </si>
  <si>
    <t>Wygraj unikatową kartę od Markizy Serenity.</t>
  </si>
  <si>
    <t>NZB5NA_S2</t>
  </si>
  <si>
    <t>Wygraj unikatową kartę od Dijkstry.</t>
  </si>
  <si>
    <t>NZB5NA_S3</t>
  </si>
  <si>
    <t>Wygraj unikatową kartę od członka komanda Wiewiórek.</t>
  </si>
  <si>
    <t>NZB5NA_S4</t>
  </si>
  <si>
    <t>NZB6NA</t>
  </si>
  <si>
    <t>Gwint: Starzy znajomi</t>
  </si>
  <si>
    <t>NZB6NA_BLOCK</t>
  </si>
  <si>
    <t>Wygraj unikatową kartę od Vernona Roche'a</t>
  </si>
  <si>
    <t>NZB6NA_S1</t>
  </si>
  <si>
    <t>Gdy nadarzy się okazja, wygraj unikatową kartę od Lamberta. Wygraj unikatową kartę od Lamberta</t>
  </si>
  <si>
    <t>NZB6NA_S2</t>
  </si>
  <si>
    <t>NZB7NA</t>
  </si>
  <si>
    <t>Znajomy z dawnych czasów</t>
  </si>
  <si>
    <t>NZB7NA_BLOCK</t>
  </si>
  <si>
    <t>Karmiczna sprawiedliwość</t>
  </si>
  <si>
    <t>Uratuj człowieka przed elfami</t>
  </si>
  <si>
    <t>NZB7NA_S1</t>
  </si>
  <si>
    <t>NZB8NA</t>
  </si>
  <si>
    <t>Kurtyzana w opałach</t>
  </si>
  <si>
    <t>NZB8NA_BLOCK</t>
  </si>
  <si>
    <t>spytaj się kurtyzany czy mamy pozbyć się bandyty</t>
  </si>
  <si>
    <t>NZB8NA_S1</t>
  </si>
  <si>
    <t>NZB8NA_PATH_A</t>
  </si>
  <si>
    <t>użyj Axii na bandycie</t>
  </si>
  <si>
    <t>NZB8NA_PATH_B</t>
  </si>
  <si>
    <t>NZB9NA</t>
  </si>
  <si>
    <t>NZB9NA_BLOCK</t>
  </si>
  <si>
    <t>Nalot łowców czarownic</t>
  </si>
  <si>
    <t>Udziel pomocy remiemu</t>
  </si>
  <si>
    <t>NZB9NA_S1</t>
  </si>
  <si>
    <t>NZB10NA</t>
  </si>
  <si>
    <t>Najprawdziwszy z bazyliszków</t>
  </si>
  <si>
    <t>NZB10NA_BLOCK</t>
  </si>
  <si>
    <t>NZB10NA_S1</t>
  </si>
  <si>
    <t>NZB11NA</t>
  </si>
  <si>
    <t>Nigdy nie ufaj dzieciom</t>
  </si>
  <si>
    <t>NZB11NA_BLOCK</t>
  </si>
  <si>
    <t>NZB11NA_S1</t>
  </si>
  <si>
    <t>NZB12NA</t>
  </si>
  <si>
    <t>Obcy w nocy</t>
  </si>
  <si>
    <t>NZB12NA_BLOCK</t>
  </si>
  <si>
    <t>NZB12NA_S1</t>
  </si>
  <si>
    <t>NZB13NA</t>
  </si>
  <si>
    <t>Pijany motłoch</t>
  </si>
  <si>
    <t>NZB13NA_BLOCK</t>
  </si>
  <si>
    <t>Zapłać 25 koron</t>
  </si>
  <si>
    <t>NZB13NA_S1</t>
  </si>
  <si>
    <t>NZB13NA_PATH_A</t>
  </si>
  <si>
    <t>Użyj znaku Axii</t>
  </si>
  <si>
    <t>NZB13NA_PATH_B</t>
  </si>
  <si>
    <t>NZB14NA</t>
  </si>
  <si>
    <t>Płomień nienawiści</t>
  </si>
  <si>
    <t>NZB14NA_BLOCK</t>
  </si>
  <si>
    <t>Ośmiesz kapłana wiecznego ognia</t>
  </si>
  <si>
    <t>NZB14NA_S1</t>
  </si>
  <si>
    <t>Pokonaj łowców czarownic</t>
  </si>
  <si>
    <t>NZB14NA_S2</t>
  </si>
  <si>
    <t>NZB15NA</t>
  </si>
  <si>
    <t>Podejrzany szantaż</t>
  </si>
  <si>
    <t>NZB15NA_BLOCK</t>
  </si>
  <si>
    <t>Nie używaj znaku Axii</t>
  </si>
  <si>
    <t>NZB15NA_S1</t>
  </si>
  <si>
    <t>NZB15NA_PATH_A</t>
  </si>
  <si>
    <t>NZB15NA_PATH_B</t>
  </si>
  <si>
    <t>NZB15NA_S2a / NZB15NA_S2b</t>
  </si>
  <si>
    <t>NZB16NA</t>
  </si>
  <si>
    <t>Rasiści z Novigradu</t>
  </si>
  <si>
    <t>NZB16NA_BLOCK</t>
  </si>
  <si>
    <t>NZB16NA_S1</t>
  </si>
  <si>
    <t>NZB17NA</t>
  </si>
  <si>
    <t>Represje w Novigradzie II</t>
  </si>
  <si>
    <t>NZB17NA_BLOCK</t>
  </si>
  <si>
    <t>NZB17NA_S1</t>
  </si>
  <si>
    <t>NZB18NA</t>
  </si>
  <si>
    <t>Serdeczne przywitanie</t>
  </si>
  <si>
    <t>NZB18NA_BLOCK</t>
  </si>
  <si>
    <t>Zapłać strażnikowi i zakończ zadanie</t>
  </si>
  <si>
    <t>NZB18NA_S1</t>
  </si>
  <si>
    <t>NZB18NA_PATH_A</t>
  </si>
  <si>
    <t>Użyj Axii na strażniku i zakończ zadanie</t>
  </si>
  <si>
    <t>NZB18NA_PATH_B</t>
  </si>
  <si>
    <t>NZB19NA</t>
  </si>
  <si>
    <t>Wyścig: Gonitwa Erazma Vegelbuda</t>
  </si>
  <si>
    <t>Wygraj pierwszy wyścig</t>
  </si>
  <si>
    <t>NZB50_S2</t>
  </si>
  <si>
    <t>Wygraj drugi wyścig</t>
  </si>
  <si>
    <t>NZB19NA_S1</t>
  </si>
  <si>
    <t>Wygraj finałowy wyścig z Luką Vegelbudem</t>
  </si>
  <si>
    <t>NZB19NA_S2</t>
  </si>
  <si>
    <t>NZB20NA</t>
  </si>
  <si>
    <t>NZB20NA_BLOCK</t>
  </si>
  <si>
    <t>NZB20NA_S1</t>
  </si>
  <si>
    <t>NZB21</t>
  </si>
  <si>
    <t>Przesyłka kurierska</t>
  </si>
  <si>
    <t>NZB21_BLOCK</t>
  </si>
  <si>
    <t>NZB21_S1</t>
  </si>
  <si>
    <t>NZB22</t>
  </si>
  <si>
    <t>Tajemniczy handlarz</t>
  </si>
  <si>
    <t>NZB22_BLOCK</t>
  </si>
  <si>
    <t>1a</t>
  </si>
  <si>
    <t>donosimy na niziołka łowcom czarownic</t>
  </si>
  <si>
    <t>NZB22_S1</t>
  </si>
  <si>
    <t>NZB22_PATH_A</t>
  </si>
  <si>
    <t>nie donosimy na niziołka łowcom czarownic</t>
  </si>
  <si>
    <t>NZB22_PATH_B</t>
  </si>
  <si>
    <t>NZB23</t>
  </si>
  <si>
    <t>Nawiedzony dom</t>
  </si>
  <si>
    <t>NZB23_BLOCK</t>
  </si>
  <si>
    <t>NZB23_S1</t>
  </si>
  <si>
    <t>NZB24</t>
  </si>
  <si>
    <t>Novigradzka gościnność</t>
  </si>
  <si>
    <t>NZB24_BLOCK</t>
  </si>
  <si>
    <t>NZB24_S1</t>
  </si>
  <si>
    <t>NZB25</t>
  </si>
  <si>
    <t>Pełna konspiracja</t>
  </si>
  <si>
    <t>NZB11NA_S2</t>
  </si>
  <si>
    <t>NZB25_BLOCK</t>
  </si>
  <si>
    <t>po odnalezieniu pierwszej wiadomości</t>
  </si>
  <si>
    <t>NZB25_S1</t>
  </si>
  <si>
    <t>po odnalezieniu drugiej wiadomości</t>
  </si>
  <si>
    <t>NZB25_S2</t>
  </si>
  <si>
    <t>NZB25_S3</t>
  </si>
  <si>
    <t>NZB26</t>
  </si>
  <si>
    <t>Gangi Novigradu</t>
  </si>
  <si>
    <t>NZB26_BLOCK</t>
  </si>
  <si>
    <t>Zdemoluj arenę i kasyno</t>
  </si>
  <si>
    <t>NZB26_S1</t>
  </si>
  <si>
    <t>NZB26_PATH_A</t>
  </si>
  <si>
    <t>Zdemoluj arenę lub kasyno</t>
  </si>
  <si>
    <t>NZB26_PATH_B</t>
  </si>
  <si>
    <t>Na własną rękę znajdź juniora i nie korzystaj z pomocy tasaka</t>
  </si>
  <si>
    <t>NZB26_PATH_C</t>
  </si>
  <si>
    <t>NZB27</t>
  </si>
  <si>
    <t>Honor złodzieja</t>
  </si>
  <si>
    <t>NZB27_BLOCK</t>
  </si>
  <si>
    <t>za uwolnienie Rico</t>
  </si>
  <si>
    <t>NZB27_S1</t>
  </si>
  <si>
    <t xml:space="preserve"> za ukończenie zadania</t>
  </si>
  <si>
    <t>NZB27_S2</t>
  </si>
  <si>
    <t>NZB28</t>
  </si>
  <si>
    <t>Nabiał i ciemne siły</t>
  </si>
  <si>
    <t>NZB28_BLOCK</t>
  </si>
  <si>
    <t>po przedostaniu się przez pomieszczenie z serami</t>
  </si>
  <si>
    <t>NZB28_S1</t>
  </si>
  <si>
    <t>po wejściu do skarbca</t>
  </si>
  <si>
    <t>NZB28_S2</t>
  </si>
  <si>
    <t>po ukończeniu zadania</t>
  </si>
  <si>
    <t>NZB28_S3</t>
  </si>
  <si>
    <t>NZB29</t>
  </si>
  <si>
    <t>Niespokojna okolica</t>
  </si>
  <si>
    <t>NZB29_BLOCK</t>
  </si>
  <si>
    <t>NZB29_S1</t>
  </si>
  <si>
    <t>NZB30</t>
  </si>
  <si>
    <t>Nieproszeni goście</t>
  </si>
  <si>
    <t>NZB30_BLOCK</t>
  </si>
  <si>
    <t>NZB30_S1</t>
  </si>
  <si>
    <t>NZB31</t>
  </si>
  <si>
    <t>Po nitce do kłębka</t>
  </si>
  <si>
    <t>NZB31_BLOCK</t>
  </si>
  <si>
    <t>po zabiciu ekimmy</t>
  </si>
  <si>
    <t>NZB31_S1</t>
  </si>
  <si>
    <t>po rozmowie z Vienne</t>
  </si>
  <si>
    <t>NZB31_S2</t>
  </si>
  <si>
    <t>po zabiciu Hammonda</t>
  </si>
  <si>
    <t>NZB31_S3 | SF1_S3</t>
  </si>
  <si>
    <t>po oszczędzeniu Taulera</t>
  </si>
  <si>
    <t>NZB31_S4</t>
  </si>
  <si>
    <t>NZB31_PATH_A</t>
  </si>
  <si>
    <t>po zabiciu Taulera</t>
  </si>
  <si>
    <t>NZB31_PATH_B</t>
  </si>
  <si>
    <t>NZB32</t>
  </si>
  <si>
    <t>Represje w Novigradzie I</t>
  </si>
  <si>
    <t>NZB32_BLOCK</t>
  </si>
  <si>
    <t>NZB32_S1</t>
  </si>
  <si>
    <t>NZB33</t>
  </si>
  <si>
    <t>Kwestia życia i śmierci</t>
  </si>
  <si>
    <t>NZB33_BLOCK</t>
  </si>
  <si>
    <t>po udaniu się na bal</t>
  </si>
  <si>
    <t>NZB33_S1</t>
  </si>
  <si>
    <t>po pokojowym odprawieniu mężczyzny biorącego Triss za „Viviankę”</t>
  </si>
  <si>
    <t>NZB33_S2</t>
  </si>
  <si>
    <t>po wygraniu wszystkich partyjek gwinta</t>
  </si>
  <si>
    <t>NZB33_S3</t>
  </si>
  <si>
    <t>NZB33_S4</t>
  </si>
  <si>
    <t>NZB34</t>
  </si>
  <si>
    <t>Lekcja szermierki</t>
  </si>
  <si>
    <t>NZB34_BLOCK</t>
  </si>
  <si>
    <t>po rozmowie z dowódcą straży przed rezydencją</t>
  </si>
  <si>
    <t>NZB34_S1</t>
  </si>
  <si>
    <t>po pokonaniu Rosy</t>
  </si>
  <si>
    <t>NZB34_S2</t>
  </si>
  <si>
    <t>NZB34_S3</t>
  </si>
  <si>
    <t>NZB35</t>
  </si>
  <si>
    <t>Nasza szkapa</t>
  </si>
  <si>
    <t>NZB35_BLOCK</t>
  </si>
  <si>
    <t>po spotkaniu z elfami</t>
  </si>
  <si>
    <t>NZB35_S1</t>
  </si>
  <si>
    <t>NZB35_S2</t>
  </si>
  <si>
    <t>NZB36</t>
  </si>
  <si>
    <t>Niebezpieczna gra</t>
  </si>
  <si>
    <t>NF4_S8 | NF9_S2</t>
  </si>
  <si>
    <t>NZB36_BLOCK</t>
  </si>
  <si>
    <t>NZB36_S1</t>
  </si>
  <si>
    <t>NZB37</t>
  </si>
  <si>
    <t>Oko za oko</t>
  </si>
  <si>
    <t>NZB37_BLOCK</t>
  </si>
  <si>
    <t>NZB37_S1</t>
  </si>
  <si>
    <t>NZB38</t>
  </si>
  <si>
    <t>Spacer po nadbrzeżu</t>
  </si>
  <si>
    <t>NZB53_S2</t>
  </si>
  <si>
    <t>NZB38_BLOCK</t>
  </si>
  <si>
    <t>NZB38_S1</t>
  </si>
  <si>
    <t>NZB39</t>
  </si>
  <si>
    <t>Wróg publiczny</t>
  </si>
  <si>
    <t>NZB39_BLOCK</t>
  </si>
  <si>
    <t>po otwarciu wejścia do kryjówki przy pomocy płytki</t>
  </si>
  <si>
    <t>NZB39_S1</t>
  </si>
  <si>
    <t>po wejściu przez portal na ostatni poziom kryjówki (ten na którym znajduje się ifryt)</t>
  </si>
  <si>
    <t>NZB39_S2</t>
  </si>
  <si>
    <t>NZB39_S3</t>
  </si>
  <si>
    <t>NZB40</t>
  </si>
  <si>
    <t>Czarna perła</t>
  </si>
  <si>
    <t>NZB40_BLOCK</t>
  </si>
  <si>
    <t>NZB40_S1</t>
  </si>
  <si>
    <t>NZB41</t>
  </si>
  <si>
    <t>Poszukiwacz zaginionej krypty</t>
  </si>
  <si>
    <t>NZB41_BLOCK</t>
  </si>
  <si>
    <t>NZB41_S1</t>
  </si>
  <si>
    <t>NZB42</t>
  </si>
  <si>
    <t>Przeklęty magazyn</t>
  </si>
  <si>
    <t>NZB42_BLOCK</t>
  </si>
  <si>
    <t>NZB42_S1</t>
  </si>
  <si>
    <t>NZB43</t>
  </si>
  <si>
    <t>Kabaret</t>
  </si>
  <si>
    <t>NZB43_BLOCK</t>
  </si>
  <si>
    <t>po przegraniu walki z Jaskrem</t>
  </si>
  <si>
    <t>NZB43_S1</t>
  </si>
  <si>
    <t>po rozmowie z Polly</t>
  </si>
  <si>
    <t>NZB43_S2</t>
  </si>
  <si>
    <t>za wygranie wyścigu (alternatywnie 20/27[1] za zapłatę długów Latreca)</t>
  </si>
  <si>
    <t>NZB43_S3</t>
  </si>
  <si>
    <t>po zakończeniu rozmowy z Latrekiem</t>
  </si>
  <si>
    <t>NZB43_S4</t>
  </si>
  <si>
    <t>w trakcie ostatniej rozmowy z Jaskrem</t>
  </si>
  <si>
    <t>NZB43_S5</t>
  </si>
  <si>
    <t>NZB43_S6</t>
  </si>
  <si>
    <t>NZB44</t>
  </si>
  <si>
    <t>Spisek</t>
  </si>
  <si>
    <t>NZB47_S8</t>
  </si>
  <si>
    <t>NZB44_BLOCK</t>
  </si>
  <si>
    <t>NZB44_S1</t>
  </si>
  <si>
    <t>NZB45</t>
  </si>
  <si>
    <t>Statuetka szlachcica</t>
  </si>
  <si>
    <t>NZB45_BLOCK</t>
  </si>
  <si>
    <t>NZB45_S1</t>
  </si>
  <si>
    <t>NZB46</t>
  </si>
  <si>
    <t>Statuetka żołnierza</t>
  </si>
  <si>
    <t>NZB46_BLOCK</t>
  </si>
  <si>
    <t>NZB46_S1</t>
  </si>
  <si>
    <t>NZB47</t>
  </si>
  <si>
    <t>Teraz albo nigdy</t>
  </si>
  <si>
    <t>NZB47_BLOCK</t>
  </si>
  <si>
    <t>po uratowaniu Bertolda i Anisse</t>
  </si>
  <si>
    <t>NZB47_S1</t>
  </si>
  <si>
    <t>po pokonaniu łowców czarownic w Zimorodku</t>
  </si>
  <si>
    <t>NZB47_S2</t>
  </si>
  <si>
    <t>po pokonaniu katakana w kanałach</t>
  </si>
  <si>
    <t>NZB47_S3</t>
  </si>
  <si>
    <t>po wyjściu z kanałów do portu</t>
  </si>
  <si>
    <t>NZB47_S4</t>
  </si>
  <si>
    <t>po pokonaniu łowców czarownic w porcie</t>
  </si>
  <si>
    <t>NZB47_S5</t>
  </si>
  <si>
    <t>po przeniesieniu się do latarni (możliwe tylko przy romansie z Triss)</t>
  </si>
  <si>
    <t>NZB47_S6</t>
  </si>
  <si>
    <t>inne zakończenie</t>
  </si>
  <si>
    <t>NZB47_S7a / NZB47_S7b</t>
  </si>
  <si>
    <t>NZB48</t>
  </si>
  <si>
    <t>Wykidajło</t>
  </si>
  <si>
    <t>NZW3_S3</t>
  </si>
  <si>
    <t>NZB48_BLOCK</t>
  </si>
  <si>
    <t>NZB48_S1</t>
  </si>
  <si>
    <t>NZB49</t>
  </si>
  <si>
    <t>Wilczyca</t>
  </si>
  <si>
    <t>NZB49_BLOCK</t>
  </si>
  <si>
    <t>oddać Bertmana Wilczycy</t>
  </si>
  <si>
    <t>NZB49_S1</t>
  </si>
  <si>
    <t>NZB49_PATH_A</t>
  </si>
  <si>
    <t>zabić Wilczycę, wraz z jej bandą</t>
  </si>
  <si>
    <t>NZB49_PATH_B</t>
  </si>
  <si>
    <t>NZB50</t>
  </si>
  <si>
    <t>Śmiertelne grzechy</t>
  </si>
  <si>
    <t>NZB43_S7</t>
  </si>
  <si>
    <t>NZB50_BLOCK</t>
  </si>
  <si>
    <t>po zabiciu Nataniela (także gdy uznaliśmy, że nie jest mordercą)</t>
  </si>
  <si>
    <t>NZB50_S1</t>
  </si>
  <si>
    <t>po zabiciu wampira</t>
  </si>
  <si>
    <t>NZB51</t>
  </si>
  <si>
    <t>Uczta dla kruków</t>
  </si>
  <si>
    <t>NZB15NA_S3</t>
  </si>
  <si>
    <t>NZB51_BLOCK</t>
  </si>
  <si>
    <t>NZB51_S1</t>
  </si>
  <si>
    <t>NZB52</t>
  </si>
  <si>
    <t>Wściekłe pięści: Novigrad</t>
  </si>
  <si>
    <t>NZB52_BLOCK</t>
  </si>
  <si>
    <t>za wygraną z Cyganem</t>
  </si>
  <si>
    <t>NZB52_S1</t>
  </si>
  <si>
    <t>za wygraną z Kapitanem</t>
  </si>
  <si>
    <t>NZB52_S2</t>
  </si>
  <si>
    <t>za ewentualne poddanie walki z Georgiem</t>
  </si>
  <si>
    <t>NZB52_S3</t>
  </si>
  <si>
    <t>za wygranie z Georgiem</t>
  </si>
  <si>
    <t>NZB52_S4</t>
  </si>
  <si>
    <t>za pokonanie Krawca i zakończenie zadania</t>
  </si>
  <si>
    <t>NZB52_S5</t>
  </si>
  <si>
    <t>NZB53</t>
  </si>
  <si>
    <t>Miecze i pierogi</t>
  </si>
  <si>
    <t>NZB53_BLOCK</t>
  </si>
  <si>
    <t>po pokonaniu z Cyną bandytów Tasaka</t>
  </si>
  <si>
    <t>NZB53_S1</t>
  </si>
  <si>
    <t>po rozmowie z Sukrusem po rozwiązaniu problemu kupca</t>
  </si>
  <si>
    <t>po rozmowie z Hattorim o składnikach potrzebnych do produkcji mieczy</t>
  </si>
  <si>
    <t>NZB53_S3</t>
  </si>
  <si>
    <t>NZB54</t>
  </si>
  <si>
    <t>O wysoką stawkę</t>
  </si>
  <si>
    <t>NZB54_BLOCK</t>
  </si>
  <si>
    <t>za zapłacenie wpisowego</t>
  </si>
  <si>
    <t>NZB54_S1</t>
  </si>
  <si>
    <t>Za wygranie ze wszystkimi w karty</t>
  </si>
  <si>
    <t>NZB54_S2</t>
  </si>
  <si>
    <t>po zbadaniu skrzynki z przyprawami</t>
  </si>
  <si>
    <t>NZB54_S3</t>
  </si>
  <si>
    <t>NZB54_S4</t>
  </si>
  <si>
    <t>NZB55</t>
  </si>
  <si>
    <t>Racja stanu</t>
  </si>
  <si>
    <t>NZB55_BLOCK</t>
  </si>
  <si>
    <t>NZB55_S1</t>
  </si>
  <si>
    <t>NZW1</t>
  </si>
  <si>
    <t>Zlecenie: Nieuchwytny złodziejaszek</t>
  </si>
  <si>
    <t>NZW1_BLOCK</t>
  </si>
  <si>
    <t>NZW1_S1</t>
  </si>
  <si>
    <t>NZW2</t>
  </si>
  <si>
    <t>Zlecenie: Barciowe Widziadło</t>
  </si>
  <si>
    <t>NZW2_BLOCK</t>
  </si>
  <si>
    <t>NZW2_S1</t>
  </si>
  <si>
    <t>NZW3</t>
  </si>
  <si>
    <t>Zlecenie: Śmiertelne rozkosze</t>
  </si>
  <si>
    <t>NZW3_BLOCK</t>
  </si>
  <si>
    <t>Użyj znaku Axii żeby dowiedzieć się gdzie jest sukkub</t>
  </si>
  <si>
    <t>NZW3_S1</t>
  </si>
  <si>
    <t>NZW3_S2a / NZW3_S2b</t>
  </si>
  <si>
    <t>NZW4</t>
  </si>
  <si>
    <t>Zlecenie: Biała Dama</t>
  </si>
  <si>
    <t>NZW4_BLOCK</t>
  </si>
  <si>
    <t>NZW4_S1</t>
  </si>
  <si>
    <t>NZW5</t>
  </si>
  <si>
    <t>Zlecenie: Nawiedzony dom</t>
  </si>
  <si>
    <t>NZW5_BLOCK</t>
  </si>
  <si>
    <t>NZW5_S1</t>
  </si>
  <si>
    <t>NZW6</t>
  </si>
  <si>
    <t>Zlecenie: Opiekun lasu</t>
  </si>
  <si>
    <t>NZW6_BLOCK</t>
  </si>
  <si>
    <t>NZW6_S1</t>
  </si>
  <si>
    <t>NZW7</t>
  </si>
  <si>
    <t>Zlecenie: Pijak z Oxenfurtu</t>
  </si>
  <si>
    <t>NZW7_BLOCK</t>
  </si>
  <si>
    <t>NZW7_S1</t>
  </si>
  <si>
    <t>NZW8</t>
  </si>
  <si>
    <t>Zlecenie: Bestia z Oxenfurckiej Puszczy</t>
  </si>
  <si>
    <t>NZW8_BLOCK</t>
  </si>
  <si>
    <t>NZW8_S1</t>
  </si>
  <si>
    <t>SF1</t>
  </si>
  <si>
    <t>Kierunek - Skellige</t>
  </si>
  <si>
    <t>SF1_BLOCK</t>
  </si>
  <si>
    <t>za zapłatę Wolverstone'owi</t>
  </si>
  <si>
    <t>SF1_S1</t>
  </si>
  <si>
    <t>po przybyciu na Skellige</t>
  </si>
  <si>
    <t>Skellige</t>
  </si>
  <si>
    <t>SF1_S2</t>
  </si>
  <si>
    <t>SF1_S3</t>
  </si>
  <si>
    <t>SF2</t>
  </si>
  <si>
    <t>Umarł, król, niech żyje król</t>
  </si>
  <si>
    <t>SF1_S4</t>
  </si>
  <si>
    <t>SF2_BLOCK</t>
  </si>
  <si>
    <t>po założeniu skelligijskich ubrań</t>
  </si>
  <si>
    <t>SF2_S1</t>
  </si>
  <si>
    <t>po wyścigu z Cerys</t>
  </si>
  <si>
    <t>SF2_S2</t>
  </si>
  <si>
    <t>po walce z Lugosem</t>
  </si>
  <si>
    <t>SF2_S3</t>
  </si>
  <si>
    <t>SF2_S4</t>
  </si>
  <si>
    <t>SF3</t>
  </si>
  <si>
    <t>Echa przeszłości</t>
  </si>
  <si>
    <t>SF2_S5</t>
  </si>
  <si>
    <t>SF3_BLOCK</t>
  </si>
  <si>
    <t>SF3_S1</t>
  </si>
  <si>
    <t>Za ukończenie zadania otrzymuje się 500 Doświadczenie. Liczba punktów doświadczenia otrzymywanych za to zadanie zmniejsza się jednak już na poziomie 19.</t>
  </si>
  <si>
    <t>SF4</t>
  </si>
  <si>
    <t>Ktokolwiek widział, ktokolwiek wie</t>
  </si>
  <si>
    <t>SF3_S2</t>
  </si>
  <si>
    <t>SF4_BLOCK</t>
  </si>
  <si>
    <t>SF4_S1</t>
  </si>
  <si>
    <t>SF5</t>
  </si>
  <si>
    <t>Bezimienny</t>
  </si>
  <si>
    <t>SF4_S2</t>
  </si>
  <si>
    <t>SF5_BLOCK</t>
  </si>
  <si>
    <t>SF5_S1</t>
  </si>
  <si>
    <t>SF6</t>
  </si>
  <si>
    <t>Cisza przed burzą</t>
  </si>
  <si>
    <t>SF5_S2</t>
  </si>
  <si>
    <t>SF6_BLOCK</t>
  </si>
  <si>
    <t>SF6_S1</t>
  </si>
  <si>
    <t>SF7NA</t>
  </si>
  <si>
    <t>Tajemniczy Pasażer łodzi</t>
  </si>
  <si>
    <t>SF6_S2</t>
  </si>
  <si>
    <t>SF7NA_BLOCK</t>
  </si>
  <si>
    <t>SF7NA_S1</t>
  </si>
  <si>
    <t>SF8</t>
  </si>
  <si>
    <t>Towarzysze broni: Skellige</t>
  </si>
  <si>
    <t>SF7NA_S2</t>
  </si>
  <si>
    <t>SF8_BLOCK</t>
  </si>
  <si>
    <t>po rozmowie z Myszoworem</t>
  </si>
  <si>
    <t>SF8_S1</t>
  </si>
  <si>
    <t>po otrzymaniu Ostrza Zimy od Cracha</t>
  </si>
  <si>
    <t>SF8_S2</t>
  </si>
  <si>
    <t>SF9</t>
  </si>
  <si>
    <t>Wyspa Mgieł</t>
  </si>
  <si>
    <t>SF8_S3</t>
  </si>
  <si>
    <t>SF10</t>
  </si>
  <si>
    <t>Przygotowanie do bitwy</t>
  </si>
  <si>
    <t>SF9_S2</t>
  </si>
  <si>
    <t>SF10_BLOCK</t>
  </si>
  <si>
    <t>SF10_S1</t>
  </si>
  <si>
    <t>SF11</t>
  </si>
  <si>
    <t>Fringilla Vigo</t>
  </si>
  <si>
    <t>SF10_S2</t>
  </si>
  <si>
    <t>SF11_S1</t>
  </si>
  <si>
    <t>SF12</t>
  </si>
  <si>
    <t>Słoneczny Kamień</t>
  </si>
  <si>
    <t>SF11_S2</t>
  </si>
  <si>
    <t>SF12_BLOCK</t>
  </si>
  <si>
    <t>SF12_S1</t>
  </si>
  <si>
    <t>SF13</t>
  </si>
  <si>
    <t>Dziecko starszej krwi</t>
  </si>
  <si>
    <t>SF12_S2</t>
  </si>
  <si>
    <t>SF13_BLOCK</t>
  </si>
  <si>
    <t>SF13_S1</t>
  </si>
  <si>
    <t>SF14</t>
  </si>
  <si>
    <t>Grób Skjalla</t>
  </si>
  <si>
    <t>SF13_S2</t>
  </si>
  <si>
    <t>SF14_BLOCK</t>
  </si>
  <si>
    <t>SF14_S1</t>
  </si>
  <si>
    <t>SF15</t>
  </si>
  <si>
    <t>Na cienkim lodzie</t>
  </si>
  <si>
    <t>SF14_S2</t>
  </si>
  <si>
    <t>SF16_BLOCK</t>
  </si>
  <si>
    <t>SF15_S1</t>
  </si>
  <si>
    <t>SF16</t>
  </si>
  <si>
    <t>Tedd Deireadh, Czas Końca</t>
  </si>
  <si>
    <t>SF15_S2</t>
  </si>
  <si>
    <t>SZP1NA</t>
  </si>
  <si>
    <t>Biada mi!</t>
  </si>
  <si>
    <t>SZP1NA_BLOCK</t>
  </si>
  <si>
    <t>SZP1NA_S1</t>
  </si>
  <si>
    <t>SZP2NA</t>
  </si>
  <si>
    <t>Cztery twarze Hemdalla</t>
  </si>
  <si>
    <t>SZP2NA_BLOCK</t>
  </si>
  <si>
    <t>SZP2NA_S1</t>
  </si>
  <si>
    <t>SZP3NA</t>
  </si>
  <si>
    <t>Gdyby kózka nie skakała</t>
  </si>
  <si>
    <t>SZP3NA_BLOCK</t>
  </si>
  <si>
    <t>SZP3NA_S1</t>
  </si>
  <si>
    <t>SZP4NA</t>
  </si>
  <si>
    <t>Gwint: Rozgrywki na Skellige</t>
  </si>
  <si>
    <t>SZP4NA_BLOCK</t>
  </si>
  <si>
    <t>Gwint: Rozgrywki na Skellige: Myszowór</t>
  </si>
  <si>
    <t>Wygraj unikatową kartę od Myszowora</t>
  </si>
  <si>
    <t>SZP4NA_S1</t>
  </si>
  <si>
    <t>Gwint: Rozgrywki na Skellige: Crach</t>
  </si>
  <si>
    <t>Wygraj unikatową kartę od Cracha an Craite</t>
  </si>
  <si>
    <t>SZP4NA_S2</t>
  </si>
  <si>
    <t>Gwint: Rozgrywki na Skellige: Gremista</t>
  </si>
  <si>
    <t>Wygraj unikatową kartę od Gremisty</t>
  </si>
  <si>
    <t>SZP38_S5</t>
  </si>
  <si>
    <t>Gwint: Rozgrywki na Skellige: Lugos</t>
  </si>
  <si>
    <t>Wygraj unikatową kartę od Lugosa Szalonego</t>
  </si>
  <si>
    <t>SZP4NA_S4</t>
  </si>
  <si>
    <t>Gwint: Rozgrywki na Skellige: Sjusta</t>
  </si>
  <si>
    <t>Wygraj unikatową kartę od Sjusty</t>
  </si>
  <si>
    <t>SZP4NA_S5</t>
  </si>
  <si>
    <t>SZP5NA</t>
  </si>
  <si>
    <t>Kredyt zaufania</t>
  </si>
  <si>
    <t>SZP5NA_BLOCK</t>
  </si>
  <si>
    <t>Zakończ zadanie udzielając porzyczki i wypuszczając typa</t>
  </si>
  <si>
    <t>SZP5NA_S1</t>
  </si>
  <si>
    <t>SZP6NA</t>
  </si>
  <si>
    <t>Pierdzące trolle</t>
  </si>
  <si>
    <t>SZP6NA_BLOCK</t>
  </si>
  <si>
    <t>SZP6NA_S1</t>
  </si>
  <si>
    <t>SZP7NA</t>
  </si>
  <si>
    <t>Wrzask syreny</t>
  </si>
  <si>
    <t>SZP7NA_BLOCK</t>
  </si>
  <si>
    <t>SZP7NA_S1</t>
  </si>
  <si>
    <t>SZP8NA</t>
  </si>
  <si>
    <t>Wyścigi Śmiałków: Ferlund</t>
  </si>
  <si>
    <t>Wygraj wyścig</t>
  </si>
  <si>
    <t>SZP9NA</t>
  </si>
  <si>
    <t>Wyścigi Śmiałków: Fyresdal</t>
  </si>
  <si>
    <t>SZP10NA</t>
  </si>
  <si>
    <t>Wyścigi Śmiałków: Ku chwale bogini!</t>
  </si>
  <si>
    <t>SZP11NA</t>
  </si>
  <si>
    <t>Wyścigi Śmiałków: Rannvaig</t>
  </si>
  <si>
    <t>SZP12NA</t>
  </si>
  <si>
    <t>Zaniepokojona Yustianna</t>
  </si>
  <si>
    <t>SZP12NA_BLOCK</t>
  </si>
  <si>
    <t>Użyj znaku Axii na bandytach</t>
  </si>
  <si>
    <t>SZP12NA_S1</t>
  </si>
  <si>
    <t>SZP12NA_PATH_A</t>
  </si>
  <si>
    <t>Pokonaj bandytów w inny sposób</t>
  </si>
  <si>
    <t>SZP12NA_BATH_B</t>
  </si>
  <si>
    <t>SZP13</t>
  </si>
  <si>
    <t>Wściekłe pięści: Mistrz nad Mistrzami</t>
  </si>
  <si>
    <t>SZP46_S5</t>
  </si>
  <si>
    <t>SZP13_BLOCK</t>
  </si>
  <si>
    <t>SZP14</t>
  </si>
  <si>
    <t>Bardzo cenny róg</t>
  </si>
  <si>
    <t>SZP14_BLOCK</t>
  </si>
  <si>
    <t>SZP14_S1</t>
  </si>
  <si>
    <t>SZP15</t>
  </si>
  <si>
    <t>Szemrane interesy</t>
  </si>
  <si>
    <t>NZB31_S3</t>
  </si>
  <si>
    <t>SZP15_BLOCK</t>
  </si>
  <si>
    <t>Użyj znaku Axii i wypuść niewolników</t>
  </si>
  <si>
    <t>SZP15_S1</t>
  </si>
  <si>
    <t>SZP15_PATH_A</t>
  </si>
  <si>
    <t>Zapłać za niewolników</t>
  </si>
  <si>
    <t>SZP15_PATH_B</t>
  </si>
  <si>
    <t>SZP15_S2a/b</t>
  </si>
  <si>
    <t>SZP16</t>
  </si>
  <si>
    <t>Wolny duch</t>
  </si>
  <si>
    <t>SZP16_BLOCK</t>
  </si>
  <si>
    <t>po pierwszej rozmowie z Ivarem</t>
  </si>
  <si>
    <t>SZP16_S1</t>
  </si>
  <si>
    <t>SZP16_S2</t>
  </si>
  <si>
    <t>SZP17</t>
  </si>
  <si>
    <t>Za siedmioma morzami</t>
  </si>
  <si>
    <t>SZP17_BLOCK</t>
  </si>
  <si>
    <t>SZP17_S1</t>
  </si>
  <si>
    <t>SZP18</t>
  </si>
  <si>
    <t>Cena honoru</t>
  </si>
  <si>
    <t>SZP18_BLOCK</t>
  </si>
  <si>
    <t>SZP18_S1</t>
  </si>
  <si>
    <t>SZP19</t>
  </si>
  <si>
    <t>Jaskinia Snów</t>
  </si>
  <si>
    <t>SZW2_S2</t>
  </si>
  <si>
    <t>SZP19_BLOCK</t>
  </si>
  <si>
    <t>po zjedzeniu grzybów</t>
  </si>
  <si>
    <t>SZP19_S1</t>
  </si>
  <si>
    <t>po pokonaniu widm z pierwszej wizji</t>
  </si>
  <si>
    <t>SZP19_S2</t>
  </si>
  <si>
    <t>po pokonaniu widm z drugiej wizji</t>
  </si>
  <si>
    <t>SZP19_S3</t>
  </si>
  <si>
    <t>po pokonaniu widma z trzeciej wizji</t>
  </si>
  <si>
    <t>SZP19_S4</t>
  </si>
  <si>
    <t>po walce z widmem Eredina</t>
  </si>
  <si>
    <t>SZP19_S5</t>
  </si>
  <si>
    <t>SZP19_S6</t>
  </si>
  <si>
    <t>SZP20</t>
  </si>
  <si>
    <t>Mistrz areny</t>
  </si>
  <si>
    <t>SZP20_BLOCK</t>
  </si>
  <si>
    <t>po wygnaniu upiora</t>
  </si>
  <si>
    <t>SZP20_S1</t>
  </si>
  <si>
    <t>po rozmowie ze Skelligijczykami po wygnaniu upiora</t>
  </si>
  <si>
    <t>SZP20_S2</t>
  </si>
  <si>
    <t>po odebraniu nagrody i zakończeniu zadania</t>
  </si>
  <si>
    <t>SZP20_S3</t>
  </si>
  <si>
    <t>SZP21</t>
  </si>
  <si>
    <t>Nithing</t>
  </si>
  <si>
    <t>SZP21_BLOCK</t>
  </si>
  <si>
    <t>Przekonaj lotara by wrócił do jony</t>
  </si>
  <si>
    <t>SZP21_S1</t>
  </si>
  <si>
    <t>SZP21_PATH_A</t>
  </si>
  <si>
    <t>napisać na nithingu imię Jony</t>
  </si>
  <si>
    <t>SZP21_PATH_B</t>
  </si>
  <si>
    <t>SZP22</t>
  </si>
  <si>
    <t xml:space="preserve">Obcy w obcym kraju	</t>
  </si>
  <si>
    <t>SZP34_S7</t>
  </si>
  <si>
    <t>SZP22_BLOCK</t>
  </si>
  <si>
    <t>Wykorzystaj znak Axii</t>
  </si>
  <si>
    <t>SZP22_S1</t>
  </si>
  <si>
    <t>SZP22_PATH_A</t>
  </si>
  <si>
    <t>Nie korzystaj ze znaku axii</t>
  </si>
  <si>
    <t>SZP22_PATH_B</t>
  </si>
  <si>
    <t>SZP22_S2a/SZP22_S2b</t>
  </si>
  <si>
    <t>SZP23</t>
  </si>
  <si>
    <t>Dla sławy i chwały</t>
  </si>
  <si>
    <t>SZP23_BLOCK</t>
  </si>
  <si>
    <t>SZP23_S1</t>
  </si>
  <si>
    <t>SZP24</t>
  </si>
  <si>
    <t>Miecz rodowy</t>
  </si>
  <si>
    <t>SZP24_BLOCK</t>
  </si>
  <si>
    <t>SZP24_S1</t>
  </si>
  <si>
    <t>SZP25</t>
  </si>
  <si>
    <t>Napad z bronią w ręku</t>
  </si>
  <si>
    <t>SZP25_BLOCK</t>
  </si>
  <si>
    <t>SZP25_S1</t>
  </si>
  <si>
    <t>SZP26</t>
  </si>
  <si>
    <t>Narzeczona dla barda</t>
  </si>
  <si>
    <t>SZP26_BLOCK</t>
  </si>
  <si>
    <t>SZP26_S1</t>
  </si>
  <si>
    <t>SZP27</t>
  </si>
  <si>
    <t>Niespłacony dług</t>
  </si>
  <si>
    <t>SZP19_S7</t>
  </si>
  <si>
    <t>SZP27_BLOCK</t>
  </si>
  <si>
    <t>SZP27_S1</t>
  </si>
  <si>
    <t>SZP28</t>
  </si>
  <si>
    <t>Ostatnie życzenie</t>
  </si>
  <si>
    <t>SZP28_BLOCK</t>
  </si>
  <si>
    <t>po wręczeniu Yennefer pieczęci</t>
  </si>
  <si>
    <t>SZP28_S1</t>
  </si>
  <si>
    <t>SZP28_S2</t>
  </si>
  <si>
    <t>SZP29</t>
  </si>
  <si>
    <t>W wilczej skórze</t>
  </si>
  <si>
    <t>SZP29_BLOCK</t>
  </si>
  <si>
    <t>Jeśli nakarmimy Morkvarga jego własnym mięsem: po zniknięciu Morkvarga</t>
  </si>
  <si>
    <t>SZP29_S1</t>
  </si>
  <si>
    <t>SZP29_PATH_A</t>
  </si>
  <si>
    <t>Jeśli nakarmimy Morkvarga jego własnym mięsem: po zakończeniu zadania (rozmowie z Jostą)</t>
  </si>
  <si>
    <t>SZP29_S2a</t>
  </si>
  <si>
    <t>Jeśli odczarujemy Morkvarga kłem i oszczędzimy go: po odczarowaniu Morkvarga</t>
  </si>
  <si>
    <t>SZP29_PATH_B</t>
  </si>
  <si>
    <t>Jeśli odczarujemy Morkvarga kłem i oszczędzimy go: po zakończeniu rozmowy z Morkvargiem</t>
  </si>
  <si>
    <t>SZP29_S2b</t>
  </si>
  <si>
    <t>Jeśli odczarujemy Morkvarga kłem i oszczędzimy go: po odebraniu nagrody od Josty</t>
  </si>
  <si>
    <t>SZP29_S3b</t>
  </si>
  <si>
    <t>Jeśli odczarujemy Morkvarga kłem i oszczędzimy go: po odebraniu nagrody od lichwiarza</t>
  </si>
  <si>
    <t>SZP29_S4b</t>
  </si>
  <si>
    <t>Jeśli odczarujemy Morkvarga kłem i zabijemy go: po odczarowaniu Morkvarga</t>
  </si>
  <si>
    <t>SZP29_PATH_C</t>
  </si>
  <si>
    <t>Jeśli odczarujemy Morkvarga kłem i zabijemy go: po zabiciu Morkvarga</t>
  </si>
  <si>
    <t>SZP29_S2c</t>
  </si>
  <si>
    <t>4c</t>
  </si>
  <si>
    <t>Jeśli odczarujemy Morkvarga kłem i zabijemy go: po zakończeniu zadania (rozmowie z Jostą)</t>
  </si>
  <si>
    <t>SZP29_S3c</t>
  </si>
  <si>
    <t>SZP30</t>
  </si>
  <si>
    <t>Szlak bohaterów</t>
  </si>
  <si>
    <t>SZP45_S2</t>
  </si>
  <si>
    <t>SZP30_BLOCK</t>
  </si>
  <si>
    <t>Po zdobyciu dowodu wejścia na górę lub dół</t>
  </si>
  <si>
    <t>SZP30_S1</t>
  </si>
  <si>
    <t>SZP30_S2</t>
  </si>
  <si>
    <t>SZP31</t>
  </si>
  <si>
    <t>Władca Undvik</t>
  </si>
  <si>
    <t>SZP31_BLOCK</t>
  </si>
  <si>
    <t>po dotarciu łodzią na wybrzeże Undvik</t>
  </si>
  <si>
    <t>SZP31_S1</t>
  </si>
  <si>
    <t>3o</t>
  </si>
  <si>
    <t>po przyniesieniu Ósmemu gwoździ i dratwy</t>
  </si>
  <si>
    <t>SZP31_S2</t>
  </si>
  <si>
    <t>4o</t>
  </si>
  <si>
    <t>po uratowaniu Folana</t>
  </si>
  <si>
    <t>5o</t>
  </si>
  <si>
    <t>po uratowaniu Vigiego</t>
  </si>
  <si>
    <t>po zabiciu giganta</t>
  </si>
  <si>
    <t>po przybyciu na wybrzeże</t>
  </si>
  <si>
    <t>SZP31_S6</t>
  </si>
  <si>
    <t>SZP31_S7</t>
  </si>
  <si>
    <t>SZP32</t>
  </si>
  <si>
    <t>Wybraniec bogów</t>
  </si>
  <si>
    <t>SZP32_BLOCK</t>
  </si>
  <si>
    <t>po zabiciu utopców na plaży</t>
  </si>
  <si>
    <t>SZP32_S1</t>
  </si>
  <si>
    <t>po zabraniu Brokvaru</t>
  </si>
  <si>
    <t>SZP32_S2</t>
  </si>
  <si>
    <t>po rozmowie z Cerys o sposobach pokonania hima</t>
  </si>
  <si>
    <t>SZP32_S3</t>
  </si>
  <si>
    <t>SZP32_S4</t>
  </si>
  <si>
    <t>SZP33</t>
  </si>
  <si>
    <t>Koronacja</t>
  </si>
  <si>
    <t>SZP33_BLOCK</t>
  </si>
  <si>
    <t>SZP33_S1</t>
  </si>
  <si>
    <t>SZP34</t>
  </si>
  <si>
    <t>Królewski Gambit</t>
  </si>
  <si>
    <t>SZP31_S8 | SZP32_S5</t>
  </si>
  <si>
    <t>SZP34_BLOCK</t>
  </si>
  <si>
    <t>po pokonaniu pierwszego vildkaarla w ramach zakładu z Hjalmarem (opcjonalnie)</t>
  </si>
  <si>
    <t>SZP34_S1</t>
  </si>
  <si>
    <t>po pokonaniu trzech vildkaarli (opcjonalnie)</t>
  </si>
  <si>
    <t>SZP34_S2</t>
  </si>
  <si>
    <t>po odebraniu nagrody od Cracha</t>
  </si>
  <si>
    <t>SZP34_S3</t>
  </si>
  <si>
    <t>po pokonaniu niedźwiedzi</t>
  </si>
  <si>
    <t>SZP34_S4</t>
  </si>
  <si>
    <t>SZP34_S5</t>
  </si>
  <si>
    <t>SZP35</t>
  </si>
  <si>
    <t>Zbrodnia i kara</t>
  </si>
  <si>
    <t>SZP35_BLOCK</t>
  </si>
  <si>
    <t>SZP35_S1</t>
  </si>
  <si>
    <t>SZP36</t>
  </si>
  <si>
    <t>Żelazna dziewica</t>
  </si>
  <si>
    <t>SZP36_BLOCK</t>
  </si>
  <si>
    <t>SZP36_S1</t>
  </si>
  <si>
    <t>SZP37</t>
  </si>
  <si>
    <t>Złe wieści</t>
  </si>
  <si>
    <t>SZP37_BLOCK</t>
  </si>
  <si>
    <t>SZP37_S1</t>
  </si>
  <si>
    <t>SZP38</t>
  </si>
  <si>
    <t>Egzamin z alchemii</t>
  </si>
  <si>
    <t>SZP38_BLOCK</t>
  </si>
  <si>
    <t>po zabraniu kurzyśladu</t>
  </si>
  <si>
    <t>SZP38_S1</t>
  </si>
  <si>
    <t>po przeprowadzeniu rytuału z Fridjofem</t>
  </si>
  <si>
    <t>SZP38_S2</t>
  </si>
  <si>
    <t>po zabraniu spirytusu</t>
  </si>
  <si>
    <t>SZP38_S3</t>
  </si>
  <si>
    <t>SZP38_S4</t>
  </si>
  <si>
    <t>SZP39</t>
  </si>
  <si>
    <t>Opuszczony tartak</t>
  </si>
  <si>
    <t>SZP39_BLOCK</t>
  </si>
  <si>
    <t>SZP39_S1</t>
  </si>
  <si>
    <t>SZP40</t>
  </si>
  <si>
    <t>Terapia szokowa</t>
  </si>
  <si>
    <t>SZP40_BLOCK</t>
  </si>
  <si>
    <t>SZP40_S1</t>
  </si>
  <si>
    <t>SZP41</t>
  </si>
  <si>
    <t>Znalezione nie kradzione</t>
  </si>
  <si>
    <t>SZP41_BLOCK</t>
  </si>
  <si>
    <t>SZP41_S1</t>
  </si>
  <si>
    <t>SZP42</t>
  </si>
  <si>
    <t>Porwana za młodu</t>
  </si>
  <si>
    <t>SZP42_BLOCK</t>
  </si>
  <si>
    <t>po rozmowie z bratem (jeśli miała ona miejsce przed rozmową z Kurisu)</t>
  </si>
  <si>
    <t>SZP42_S1</t>
  </si>
  <si>
    <t>SZP42_S2</t>
  </si>
  <si>
    <t>SZP43</t>
  </si>
  <si>
    <t>Zakłócony spokój</t>
  </si>
  <si>
    <t>SZP43_BLOCK</t>
  </si>
  <si>
    <t>SZP43_S1</t>
  </si>
  <si>
    <t>SZP44</t>
  </si>
  <si>
    <t>Smutna historia braci Grossbart</t>
  </si>
  <si>
    <t>SZP44_BLOCK</t>
  </si>
  <si>
    <t>SZP44_S1</t>
  </si>
  <si>
    <t>SZP45</t>
  </si>
  <si>
    <t>Wieża znikąd</t>
  </si>
  <si>
    <t>SZP45_BLOCK</t>
  </si>
  <si>
    <t>SZP45_S1</t>
  </si>
  <si>
    <t>SZP46</t>
  </si>
  <si>
    <t>Wściekłe pięści: Skellige</t>
  </si>
  <si>
    <t>SZP46_BLOCK</t>
  </si>
  <si>
    <t>po pokonaniu Valgarda</t>
  </si>
  <si>
    <t>SZP46_S1</t>
  </si>
  <si>
    <t>po pokonaniu Einara</t>
  </si>
  <si>
    <t>SZP46_S2</t>
  </si>
  <si>
    <t>po pokonaniu Grima</t>
  </si>
  <si>
    <t>SZP46_S3</t>
  </si>
  <si>
    <t>SZP46_S4</t>
  </si>
  <si>
    <t>SZW1</t>
  </si>
  <si>
    <t>Zlecenie: Bestia z Hindarsfjall</t>
  </si>
  <si>
    <t>SZW1_BLOCK</t>
  </si>
  <si>
    <t>SZW1_S1</t>
  </si>
  <si>
    <t>SZW2</t>
  </si>
  <si>
    <t>Zlecenie: Upiór z Eldbergu</t>
  </si>
  <si>
    <t>SZW2_BLOCK</t>
  </si>
  <si>
    <t>SZW2_S1</t>
  </si>
  <si>
    <t>SZW3</t>
  </si>
  <si>
    <t>Zlecenie: Morskie Diabły</t>
  </si>
  <si>
    <t>SZW3_BLOCK</t>
  </si>
  <si>
    <t>SZW3_S1</t>
  </si>
  <si>
    <t>SZW4</t>
  </si>
  <si>
    <t>Zlecenie: Zaginiony narzeczony</t>
  </si>
  <si>
    <t>SZW4_BLOCK</t>
  </si>
  <si>
    <t>SZW4_S1</t>
  </si>
  <si>
    <t>SZW5</t>
  </si>
  <si>
    <t>Zlecenie: W sercu lasu</t>
  </si>
  <si>
    <t>SZW5_BLOCK</t>
  </si>
  <si>
    <t>SZW5_S1</t>
  </si>
  <si>
    <t>SZW6</t>
  </si>
  <si>
    <t>Zlecenie: Zaginieni górnicy</t>
  </si>
  <si>
    <t>SZW6_BLOCK</t>
  </si>
  <si>
    <t>Oszczędź trolla</t>
  </si>
  <si>
    <t>SZW6_S1</t>
  </si>
  <si>
    <t>SZW6_PATH_A</t>
  </si>
  <si>
    <t>Zabij trolla</t>
  </si>
  <si>
    <t>SZW6_PATH_B</t>
  </si>
  <si>
    <t>SZW7</t>
  </si>
  <si>
    <t>Zlecenie: Smok</t>
  </si>
  <si>
    <t>SZW7_BLOCK</t>
  </si>
  <si>
    <t>SZW7_S1</t>
  </si>
  <si>
    <t>SZW8</t>
  </si>
  <si>
    <t>Zlecenie: Najgroźniejszy potwór na Skellige</t>
  </si>
  <si>
    <t>SZW8_BLOCK</t>
  </si>
  <si>
    <t>Walcz z wszystkimi potworami</t>
  </si>
  <si>
    <t>SZW8_S1</t>
  </si>
  <si>
    <t>SZW8_PATH_A</t>
  </si>
  <si>
    <t>Powiedz że czasem pomagasz potworom i walcz tylko z wilkołakiem</t>
  </si>
  <si>
    <t>SZW8_PATH_B</t>
  </si>
  <si>
    <t>SZW9</t>
  </si>
  <si>
    <t>Zlecenie: Zaginiony syn</t>
  </si>
  <si>
    <t>SZW9_BLOCK</t>
  </si>
  <si>
    <t>SZW9_S1</t>
  </si>
  <si>
    <t>KMF1NA</t>
  </si>
  <si>
    <t>Zakłócenia</t>
  </si>
  <si>
    <t>Kear Morhen</t>
  </si>
  <si>
    <t>KMF1NA_BLOCK</t>
  </si>
  <si>
    <t>KMF1NA_S1</t>
  </si>
  <si>
    <t>KMF2</t>
  </si>
  <si>
    <t>Ostatnia próba</t>
  </si>
  <si>
    <t>KMF1NA_S2</t>
  </si>
  <si>
    <t>KMF2_BLOCK</t>
  </si>
  <si>
    <t>KMF2_S1</t>
  </si>
  <si>
    <t>KMF3</t>
  </si>
  <si>
    <t>Ażeby widłogona zwabić…</t>
  </si>
  <si>
    <t>KMF2_S2</t>
  </si>
  <si>
    <t>KMF3_BLOCK</t>
  </si>
  <si>
    <t>po wygraniu wyścigu z Eskelem i przyjęciu nagrody</t>
  </si>
  <si>
    <t>KMF3_S1</t>
  </si>
  <si>
    <t>KMF3_PATH_A</t>
  </si>
  <si>
    <t>po przegraniu wyścigu z Eskelem</t>
  </si>
  <si>
    <t>KMF3_PATH_B</t>
  </si>
  <si>
    <t>KMF3_S2a/b</t>
  </si>
  <si>
    <t>KMF4</t>
  </si>
  <si>
    <t>Nie ma jak w domu</t>
  </si>
  <si>
    <t>KMF3_S3</t>
  </si>
  <si>
    <t>KMF4_BLOCK</t>
  </si>
  <si>
    <t>po znalezieniu Eskela</t>
  </si>
  <si>
    <t>KMF4_S1</t>
  </si>
  <si>
    <t>KMF5</t>
  </si>
  <si>
    <t>Va faill elaine</t>
  </si>
  <si>
    <t>KMF4_S2</t>
  </si>
  <si>
    <t>KMF5_BLOCK</t>
  </si>
  <si>
    <t>KMF5_S1</t>
  </si>
  <si>
    <t>KMF6</t>
  </si>
  <si>
    <t>Bitwa w Kear Morhen</t>
  </si>
  <si>
    <t>KMF5_S2</t>
  </si>
  <si>
    <t>po przybyciu do Kaer Morhen</t>
  </si>
  <si>
    <t>KMF6_S1</t>
  </si>
  <si>
    <t>po otrzymaniu eliksirów z laboratorium</t>
  </si>
  <si>
    <t>KMF6_S2</t>
  </si>
  <si>
    <t>po naradzie</t>
  </si>
  <si>
    <t>KMF6_S3</t>
  </si>
  <si>
    <t>po zamknięciu wszystkich portali w lesie</t>
  </si>
  <si>
    <t>KMF6_S4</t>
  </si>
  <si>
    <t>po wysłaniu sygnału do Triss po zobaczeniu Imleritha</t>
  </si>
  <si>
    <t>KMF6_S5</t>
  </si>
  <si>
    <t>po wejściu na środkowy dziedziniec</t>
  </si>
  <si>
    <t>KMF6_S6</t>
  </si>
  <si>
    <t>KMF6_S7</t>
  </si>
  <si>
    <t>KMF7</t>
  </si>
  <si>
    <t>Krajobraz po bitwie</t>
  </si>
  <si>
    <t>KMF6_S8</t>
  </si>
  <si>
    <t>KMF7_S1</t>
  </si>
  <si>
    <t>KMZP1NA</t>
  </si>
  <si>
    <t>Ścieżka ech</t>
  </si>
  <si>
    <t>KMZP1NA_BLOCK</t>
  </si>
  <si>
    <t>KMZP1NA_S1</t>
  </si>
  <si>
    <t>KMZP2</t>
  </si>
  <si>
    <t>Bastion</t>
  </si>
  <si>
    <t>KMZP2_BLOCK</t>
  </si>
  <si>
    <t>KMZP2_S1</t>
  </si>
  <si>
    <t>KMZP3</t>
  </si>
  <si>
    <t>Sąsiedzka sprzeczka</t>
  </si>
  <si>
    <t>KMZP3_BLOCK</t>
  </si>
  <si>
    <t>KMZP3_S1</t>
  </si>
  <si>
    <t>KMZP4</t>
  </si>
  <si>
    <t>Efekt cieplarniany</t>
  </si>
  <si>
    <t>KMZP4_BLOCK</t>
  </si>
  <si>
    <t>KMZP4_S1</t>
  </si>
  <si>
    <t>KMZP5</t>
  </si>
  <si>
    <t>Miecz Berengara</t>
  </si>
  <si>
    <t>KMZP5_BLOCK</t>
  </si>
  <si>
    <t>KMZP5_S1</t>
  </si>
  <si>
    <t>KMZP6</t>
  </si>
  <si>
    <t>Wiedźmińska kuźnia</t>
  </si>
  <si>
    <t>KMZP6_BLOCK</t>
  </si>
  <si>
    <t>KMZP6_S1</t>
  </si>
  <si>
    <t>Krew i wino</t>
  </si>
  <si>
    <t>KIWF1</t>
  </si>
  <si>
    <t>Poselstwo z Krainy Wina</t>
  </si>
  <si>
    <t>KIWF1_BLOCK</t>
  </si>
  <si>
    <t>KIWF1_S1</t>
  </si>
  <si>
    <t>KIWF2</t>
  </si>
  <si>
    <t>Bestia z Toussaint</t>
  </si>
  <si>
    <t>Toussaint</t>
  </si>
  <si>
    <t>KIWF1_S2</t>
  </si>
  <si>
    <t>KIWF2_BLOCK</t>
  </si>
  <si>
    <t>za pokonanie Goliata</t>
  </si>
  <si>
    <t>za przeczytanie wpisu o bruxie z Corvo Bianco</t>
  </si>
  <si>
    <t>KIWF2_S2</t>
  </si>
  <si>
    <t>za zabicie bruxy</t>
  </si>
  <si>
    <t>za wyjęcie mieszka z florenami</t>
  </si>
  <si>
    <t>KIWF2_S4</t>
  </si>
  <si>
    <t>za pokonanie szarleja</t>
  </si>
  <si>
    <t>KIWF2_S5</t>
  </si>
  <si>
    <t>za otrzymanie Corvo Bianco</t>
  </si>
  <si>
    <t>KIWF2_S6</t>
  </si>
  <si>
    <t>za zdobycie wskazówki z rogu jednorożca</t>
  </si>
  <si>
    <t>KIWF2_S7</t>
  </si>
  <si>
    <t>za zdobycie kluczyka ze złotej rybki (50 przy dwóch nieudanych podejściach)</t>
  </si>
  <si>
    <t>KIWF2_S8</t>
  </si>
  <si>
    <t>za podanie prawidłowego rozwiązania zagadki</t>
  </si>
  <si>
    <t>KIWF2_S9</t>
  </si>
  <si>
    <t>za ukończenie zadania</t>
  </si>
  <si>
    <t>KIWF2_S10</t>
  </si>
  <si>
    <t>KIWF3</t>
  </si>
  <si>
    <t>Na tropie…</t>
  </si>
  <si>
    <t>KIWF2_S11</t>
  </si>
  <si>
    <t>KIWF3_BLOCK</t>
  </si>
  <si>
    <t>Pokonaj potwora</t>
  </si>
  <si>
    <t>KIWF4</t>
  </si>
  <si>
    <t>Pogłos</t>
  </si>
  <si>
    <t>KIWF3_S2</t>
  </si>
  <si>
    <t>KIWF4_BLOCK</t>
  </si>
  <si>
    <t>2o</t>
  </si>
  <si>
    <t>po zniszczeniu jaj kikimor</t>
  </si>
  <si>
    <t>po rozmowie z Regisem na cmentarzu</t>
  </si>
  <si>
    <t>KIWF4_S1</t>
  </si>
  <si>
    <t>po przeczytaniu wpisu o wichcie plamistym</t>
  </si>
  <si>
    <t>KIWF4_S3</t>
  </si>
  <si>
    <t>po zbadaniu śladów w domu Marleny</t>
  </si>
  <si>
    <t>KIWF4_S4</t>
  </si>
  <si>
    <t>po zdobyciu ślinianek lub wywaru wichta</t>
  </si>
  <si>
    <t>KIWF4_S5</t>
  </si>
  <si>
    <t>po rozmowie z majordomusem w Corvo Bianco</t>
  </si>
  <si>
    <t>KIWF4_S6</t>
  </si>
  <si>
    <t>KIWF4_PATH_A</t>
  </si>
  <si>
    <t>po zabiciu wichta</t>
  </si>
  <si>
    <t>KIWF4_PATH_B</t>
  </si>
  <si>
    <t>po rozmowie z Regisem po przyniesieniu mu śliny wichta</t>
  </si>
  <si>
    <t>KIWF4_S7a/b</t>
  </si>
  <si>
    <t>KIWF4_S8</t>
  </si>
  <si>
    <t>KIWF5</t>
  </si>
  <si>
    <t>Leże Bestii</t>
  </si>
  <si>
    <t>KIWF4_S9</t>
  </si>
  <si>
    <t>KIWF5_BLOCK</t>
  </si>
  <si>
    <t>po pokonaniu robotników</t>
  </si>
  <si>
    <t>Zapłać pucybutowi całą kwotę</t>
  </si>
  <si>
    <t>KIWF5_S2</t>
  </si>
  <si>
    <t>KIWF5_PATH_A</t>
  </si>
  <si>
    <t>Użyj znaku Axii na pucybucie</t>
  </si>
  <si>
    <t>KIWF5_PATH_B</t>
  </si>
  <si>
    <t>po wejściu do budynku</t>
  </si>
  <si>
    <t>KIWF5_S3a/b</t>
  </si>
  <si>
    <t>KIWF5_S4</t>
  </si>
  <si>
    <t>KIWF6</t>
  </si>
  <si>
    <t>Wino rzecz święta</t>
  </si>
  <si>
    <t>KIWF5_S5</t>
  </si>
  <si>
    <t>KIWF6_BLOCK</t>
  </si>
  <si>
    <t>za pokonanie panter</t>
  </si>
  <si>
    <t>za znalezienie właściwej beczki</t>
  </si>
  <si>
    <t>KIWF6_S2</t>
  </si>
  <si>
    <t>po przybyciu na ostatnie spotkanie z Anną Henriettą</t>
  </si>
  <si>
    <t>KIWF6_S3</t>
  </si>
  <si>
    <t>KIWF7</t>
  </si>
  <si>
    <t>Szlachcic z Cintry</t>
  </si>
  <si>
    <t>KIWF6_S4</t>
  </si>
  <si>
    <t>KIWF7_BLOCK</t>
  </si>
  <si>
    <t>KIWF7_S1</t>
  </si>
  <si>
    <t>KIWF8</t>
  </si>
  <si>
    <t>Szturm na Dun Tynne</t>
  </si>
  <si>
    <t>KIWF7_S2</t>
  </si>
  <si>
    <t>KIWF16_BLOCK</t>
  </si>
  <si>
    <t>po pokonaniu ludzi Roderika</t>
  </si>
  <si>
    <t>po pokonaniu Roderika</t>
  </si>
  <si>
    <t>KIWF8_S2</t>
  </si>
  <si>
    <t>po przybyciu wampirów</t>
  </si>
  <si>
    <t>KIWF8_S3</t>
  </si>
  <si>
    <t>KIWF8_S4</t>
  </si>
  <si>
    <t>KIWF9</t>
  </si>
  <si>
    <t>Długa noc</t>
  </si>
  <si>
    <t>KIWF8_S5</t>
  </si>
  <si>
    <t>po zabiciu bruxy w pałacu</t>
  </si>
  <si>
    <t>KIWF9_S1</t>
  </si>
  <si>
    <t>po zabiciu fledera zagrażającego oddziałowi Damiena (musimy wpierw zgubić regisa na walce z garkainem)</t>
  </si>
  <si>
    <t>KIWF9_S2</t>
  </si>
  <si>
    <t>po wyruszeniu do sierocińca</t>
  </si>
  <si>
    <t>KIWF9_S3</t>
  </si>
  <si>
    <t>KIWF10</t>
  </si>
  <si>
    <t>Zew krwi</t>
  </si>
  <si>
    <t>KIWF9_S4</t>
  </si>
  <si>
    <t>za przeczytanie wpisu o garkainie przywódcy stada</t>
  </si>
  <si>
    <t>KIWF10_S1</t>
  </si>
  <si>
    <t>po zabraniu trofeum z garkaina</t>
  </si>
  <si>
    <t>KIWF10_S2</t>
  </si>
  <si>
    <t>po ostatniej rozmowie z Orianą</t>
  </si>
  <si>
    <t>KIWF10_S3</t>
  </si>
  <si>
    <t>KIWF11</t>
  </si>
  <si>
    <t>Dawno, dawno temu…</t>
  </si>
  <si>
    <t>KIWF10_S4</t>
  </si>
  <si>
    <t>po dotarciu do Złej wiedźmy</t>
  </si>
  <si>
    <t>KIWF11_S1</t>
  </si>
  <si>
    <t>po rozmowie z Józiem</t>
  </si>
  <si>
    <t>KIWF11_S2</t>
  </si>
  <si>
    <t>po zebraniu ostatniej fasolki</t>
  </si>
  <si>
    <t>KIWF11_S3</t>
  </si>
  <si>
    <t>KIWF11_S4</t>
  </si>
  <si>
    <t>KIWF12</t>
  </si>
  <si>
    <t>Między światami</t>
  </si>
  <si>
    <t>KIWF11_S5</t>
  </si>
  <si>
    <t>po wypiciu Jaskółki</t>
  </si>
  <si>
    <t>KIWF12_S1</t>
  </si>
  <si>
    <t>po zabraniu podarku dla Ukrytego</t>
  </si>
  <si>
    <t>KIWF12_S2</t>
  </si>
  <si>
    <t>po urwaniu czubka skały</t>
  </si>
  <si>
    <t>KIWF12_S3</t>
  </si>
  <si>
    <t>po ostatniej rozmowie z Ukrytym</t>
  </si>
  <si>
    <t>KIWF12_S4</t>
  </si>
  <si>
    <t>KIWF13</t>
  </si>
  <si>
    <t>Tesham Mutna</t>
  </si>
  <si>
    <t>KIWF12_S5</t>
  </si>
  <si>
    <t>KIWF13_S1</t>
  </si>
  <si>
    <t>KIWF14</t>
  </si>
  <si>
    <t>Ceremonia</t>
  </si>
  <si>
    <t>KIWF13_S2</t>
  </si>
  <si>
    <t>po zdobyciu piątego zlecenia morderstwa</t>
  </si>
  <si>
    <t>KIWF14_S1</t>
  </si>
  <si>
    <t>po odebraniu nagrody od księżnej</t>
  </si>
  <si>
    <t>po przeniesieniu się na cmentarz Mère-Lachaise (tylko przy dobrym zakończeniu)</t>
  </si>
  <si>
    <t>KIWF14_S3</t>
  </si>
  <si>
    <t>KIWF15</t>
  </si>
  <si>
    <t>Za żelazną kratą</t>
  </si>
  <si>
    <t>KIWF14_S4</t>
  </si>
  <si>
    <t>po rozmowie z Jaskrem</t>
  </si>
  <si>
    <t>KIWF15_S1</t>
  </si>
  <si>
    <t>po uzyskaniu piątego zlecenia morderstwa</t>
  </si>
  <si>
    <t>KIWF15_S2</t>
  </si>
  <si>
    <t>KIWF16</t>
  </si>
  <si>
    <t>Wszędzie dobrze…</t>
  </si>
  <si>
    <t>KIWF15_S3</t>
  </si>
  <si>
    <t>KIWF16_S1</t>
  </si>
  <si>
    <t>KIWZP1</t>
  </si>
  <si>
    <t>Corvo Bianco</t>
  </si>
  <si>
    <t>KIWZP1_BLOCK</t>
  </si>
  <si>
    <t>KIWZP1_S1</t>
  </si>
  <si>
    <t>KIWZP2NA</t>
  </si>
  <si>
    <t>Gwint: Talia Skellige</t>
  </si>
  <si>
    <t>KIWZP2NA_BLOCK</t>
  </si>
  <si>
    <t>KIWZP2NA_S1</t>
  </si>
  <si>
    <t>KIWZP3NA</t>
  </si>
  <si>
    <t>Komu w drogę: Pierwsza grupa</t>
  </si>
  <si>
    <t>KIWZP4NA</t>
  </si>
  <si>
    <t>Komu w drogę: Druga grupa</t>
  </si>
  <si>
    <t>KIWZP5NA</t>
  </si>
  <si>
    <t>Komu w drogę: Trzecia grupa</t>
  </si>
  <si>
    <t>KIWZP6NA</t>
  </si>
  <si>
    <t>Komu w drogę: Czwarta grupa</t>
  </si>
  <si>
    <t>KIWZP7NA</t>
  </si>
  <si>
    <t>Komu w drogę: Piąta grupa</t>
  </si>
  <si>
    <t>KIWZP8</t>
  </si>
  <si>
    <t>Rycerz do wynajęcia</t>
  </si>
  <si>
    <t>KIWZP8_BLOCK</t>
  </si>
  <si>
    <t>KIWZP8_S1</t>
  </si>
  <si>
    <t>KIWZP9</t>
  </si>
  <si>
    <t>Pieśń rycerskiego serca</t>
  </si>
  <si>
    <t>KIWZP9_BLOCK</t>
  </si>
  <si>
    <t>po wygraniu zawodów łuczniczych</t>
  </si>
  <si>
    <t>KIWZP9_S1</t>
  </si>
  <si>
    <t>po wygraniu wyścigu</t>
  </si>
  <si>
    <t>KIWZP9_S2</t>
  </si>
  <si>
    <t>po pierwszej rozmowie z Vivienne nad jeziorem</t>
  </si>
  <si>
    <t>KIWZP9_S3</t>
  </si>
  <si>
    <t>po wygraniu walki na arenie</t>
  </si>
  <si>
    <t>KIWZP9_S4</t>
  </si>
  <si>
    <t>po wygraniu walki z Gregoirem</t>
  </si>
  <si>
    <t>KIWZP9_S5</t>
  </si>
  <si>
    <t>KIWZP9_S6</t>
  </si>
  <si>
    <t>KIWZP10</t>
  </si>
  <si>
    <t>Przemiana</t>
  </si>
  <si>
    <t>KIWZP10_BLOCK</t>
  </si>
  <si>
    <t>po przeczytaniu mapy Toussaint po odwiedzeniu grobu Moreau</t>
  </si>
  <si>
    <t>KIWZP10_S1</t>
  </si>
  <si>
    <t>po wejściu przez portal do opuszczonej budowli</t>
  </si>
  <si>
    <t>KIWZP10_S2</t>
  </si>
  <si>
    <t>po pokonaniu pierwszych panter</t>
  </si>
  <si>
    <t>KIWZP10_S3</t>
  </si>
  <si>
    <t>po zabiciu gargulca</t>
  </si>
  <si>
    <t>KIWZP10_S4</t>
  </si>
  <si>
    <t>KIWZP10_S5</t>
  </si>
  <si>
    <t>po wysłuchaniu informacji z podstawowych kryształów</t>
  </si>
  <si>
    <t>KIWZP10_S6</t>
  </si>
  <si>
    <t>po wysłuchaniu informacji z dodatkowych kryształów</t>
  </si>
  <si>
    <t>KIWZP10_S7</t>
  </si>
  <si>
    <t>po zabraniu białka skolopendromorfa</t>
  </si>
  <si>
    <t>KIWZP10_S8</t>
  </si>
  <si>
    <t>KIWZP10_S9</t>
  </si>
  <si>
    <t>KIWZP11</t>
  </si>
  <si>
    <t>Bohater narodowy</t>
  </si>
  <si>
    <t>KIWZP11_BLOCK</t>
  </si>
  <si>
    <t>KIWZP11_S1</t>
  </si>
  <si>
    <t>KIWZP12</t>
  </si>
  <si>
    <t>Klient ma zawsze rację</t>
  </si>
  <si>
    <t>KIWZP12_BLOCK</t>
  </si>
  <si>
    <t>po walce na pięści z petentem (niezależnie od jej wyniku)</t>
  </si>
  <si>
    <t>KIWZP12_S1</t>
  </si>
  <si>
    <t>po wygranej w gwinta</t>
  </si>
  <si>
    <t>KIWZP12_S2</t>
  </si>
  <si>
    <t>po wręczeniu urzędniczce podarunku (lub skomplementowaniu jej)</t>
  </si>
  <si>
    <t>KIWZP12_S3</t>
  </si>
  <si>
    <t>po przyjściu Cianfanellego</t>
  </si>
  <si>
    <t>KIWZP12_S4</t>
  </si>
  <si>
    <t>KIWZP13</t>
  </si>
  <si>
    <t>Turniej pięściarski</t>
  </si>
  <si>
    <t>KIWZP13_BLOCK</t>
  </si>
  <si>
    <t>a pokonanie Cichej Mocy</t>
  </si>
  <si>
    <t>KIWZP13_S1</t>
  </si>
  <si>
    <t>za pokonanie Szczoty</t>
  </si>
  <si>
    <t>KIWZP13_S2</t>
  </si>
  <si>
    <t>za pokonanie Kolosa</t>
  </si>
  <si>
    <t>KIWZP13_S3</t>
  </si>
  <si>
    <t>KIWZP13_S4</t>
  </si>
  <si>
    <t>KIWZP14</t>
  </si>
  <si>
    <t>Wieczne Odpoczywanie</t>
  </si>
  <si>
    <t>KIWZP14_BLOCK</t>
  </si>
  <si>
    <t>odebranie nagrody od lanzano</t>
  </si>
  <si>
    <t>KIWZP14_S1</t>
  </si>
  <si>
    <t>KIWZP14_PATH_A</t>
  </si>
  <si>
    <t>odebranie nagrody od lanzano (okłamaliśmy go)</t>
  </si>
  <si>
    <t>KIWZP14_PATH_B</t>
  </si>
  <si>
    <t>odebranie miecza od trentina</t>
  </si>
  <si>
    <t>KIWZP14_S2a/b</t>
  </si>
  <si>
    <t>KIWZP14_PATH_C</t>
  </si>
  <si>
    <t>3d</t>
  </si>
  <si>
    <t>pomogliśmy babie</t>
  </si>
  <si>
    <t>KIWZP14_PATH_D</t>
  </si>
  <si>
    <t>KIWZP15</t>
  </si>
  <si>
    <t>Awantura o wino</t>
  </si>
  <si>
    <t>KIWZP15_BLOCK</t>
  </si>
  <si>
    <t>KIWZP15_S1</t>
  </si>
  <si>
    <t>KIWZP16</t>
  </si>
  <si>
    <t>Awantura o wino: Coronata</t>
  </si>
  <si>
    <t>KIWZP16_BLOCK</t>
  </si>
  <si>
    <t>za zniszczenie gniazda archesporów</t>
  </si>
  <si>
    <t>KIWZP16_S1</t>
  </si>
  <si>
    <t>KIWZP16_S2</t>
  </si>
  <si>
    <t>KIWZP17</t>
  </si>
  <si>
    <t>Awantura o wino: Vermentino</t>
  </si>
  <si>
    <t>KIWZP17_BLOCK</t>
  </si>
  <si>
    <t>KIWZP17_S1</t>
  </si>
  <si>
    <t>KIWZP18</t>
  </si>
  <si>
    <t>Beauclairskie safari</t>
  </si>
  <si>
    <t>KIWZP18_BLOCK</t>
  </si>
  <si>
    <t>po odbiorze zapłaty za zlecenie</t>
  </si>
  <si>
    <t>KIWZP18_S1</t>
  </si>
  <si>
    <t>po odebraniu obrazu</t>
  </si>
  <si>
    <t>KIWZP18_S2</t>
  </si>
  <si>
    <t>KIWZP19</t>
  </si>
  <si>
    <t>Braterska miłość</t>
  </si>
  <si>
    <t>KIWZP19_BLOCK</t>
  </si>
  <si>
    <t>po odzyskaniu destylatora</t>
  </si>
  <si>
    <t>KIWZP19_S1</t>
  </si>
  <si>
    <t>KIWZP19_S2</t>
  </si>
  <si>
    <t>KIWZP20</t>
  </si>
  <si>
    <t>Gwint: Wielki Turniej w Beauclair</t>
  </si>
  <si>
    <t>KIWZP20_BLOCK</t>
  </si>
  <si>
    <t>za wygraną z Hamalem (tylko jeśli założyliśmy się z nim o miecz)</t>
  </si>
  <si>
    <t>KIWZP20_S1</t>
  </si>
  <si>
    <t>za wygraną w turnieju</t>
  </si>
  <si>
    <t>KIWZP20_S2</t>
  </si>
  <si>
    <t>KIWZP21</t>
  </si>
  <si>
    <t>Awantura o wino: Belgaard</t>
  </si>
  <si>
    <t>KIWZP21_BLOCK</t>
  </si>
  <si>
    <t>za zniszczenie gniazda endriag</t>
  </si>
  <si>
    <t>KIWZP21_S1</t>
  </si>
  <si>
    <t>za zniszczenie południowego gniazda skolopendromorfów</t>
  </si>
  <si>
    <t>KIWZP21_S2</t>
  </si>
  <si>
    <t>za doniesienie o rozwiązaniu problemów Belgaardu</t>
  </si>
  <si>
    <t>KIWZP21_S3</t>
  </si>
  <si>
    <t>KIWZP22</t>
  </si>
  <si>
    <t>Awantura o wino: Konsorcjum</t>
  </si>
  <si>
    <t>KIWZP22_BLOCK</t>
  </si>
  <si>
    <t>KIWZP22_S1</t>
  </si>
  <si>
    <t>KIWZP23</t>
  </si>
  <si>
    <t>Komu w drogę, temu w czas</t>
  </si>
  <si>
    <t>KIWZP23_BLOCK</t>
  </si>
  <si>
    <t>KIWZP23_S1</t>
  </si>
  <si>
    <t>KIWZP24</t>
  </si>
  <si>
    <t>Kości Wielkiego Żebraka</t>
  </si>
  <si>
    <t>KIWZP24_BLOCK</t>
  </si>
  <si>
    <t>KIWZP24_S1</t>
  </si>
  <si>
    <t>KIWZP25</t>
  </si>
  <si>
    <t>Mistrz pięściarski</t>
  </si>
  <si>
    <t>KIWZP25_BLOCK</t>
  </si>
  <si>
    <t>KIWZP26</t>
  </si>
  <si>
    <t>O damie i jej rycerzu</t>
  </si>
  <si>
    <t>KIWZP26_BLOCK</t>
  </si>
  <si>
    <t>po otrzymaniu egzemplarza Legend i baśni</t>
  </si>
  <si>
    <t>KIWZP26_S1</t>
  </si>
  <si>
    <t>po zabraniu jedwabnej chustki z pentagramu</t>
  </si>
  <si>
    <t>KIWZP26_S2</t>
  </si>
  <si>
    <t>po odebraniu nagrody lub po zbadaniu ciała Jacoba</t>
  </si>
  <si>
    <t>KIWZP26_S3</t>
  </si>
  <si>
    <t>KIWZP27</t>
  </si>
  <si>
    <t>Rekonstrukcja</t>
  </si>
  <si>
    <t>KIWZP27_BLOCK</t>
  </si>
  <si>
    <t>KIWZP27_S1</t>
  </si>
  <si>
    <t>KIWZP28</t>
  </si>
  <si>
    <t>Więcej niż mistrz</t>
  </si>
  <si>
    <t>KIWZP28_BLOCK</t>
  </si>
  <si>
    <t>KIWZP28_S1</t>
  </si>
  <si>
    <t>KIWZP29</t>
  </si>
  <si>
    <t>Awantura o wino: Nieczysta gra</t>
  </si>
  <si>
    <t>KIWZP29_BLOCK</t>
  </si>
  <si>
    <t>po spaleniu sadzonek archesporów</t>
  </si>
  <si>
    <t>KIWZP29_S1</t>
  </si>
  <si>
    <t>po przeczytaniu arkusza inwentaryzacyjnego</t>
  </si>
  <si>
    <t>KIWZP29_S2</t>
  </si>
  <si>
    <t>KIWZP30</t>
  </si>
  <si>
    <t>Marlena</t>
  </si>
  <si>
    <t>KIWZP30_BLOCK</t>
  </si>
  <si>
    <t>KIWZP30_S1</t>
  </si>
  <si>
    <t>KIWZP31</t>
  </si>
  <si>
    <t>W starym młynie</t>
  </si>
  <si>
    <t>KIWZP31_BLOCK</t>
  </si>
  <si>
    <t>KIWZP31_S1</t>
  </si>
  <si>
    <t>KIWZP32</t>
  </si>
  <si>
    <t>Portrecista</t>
  </si>
  <si>
    <t>KIWZP32_BLOCK</t>
  </si>
  <si>
    <t>po znalezieniu akcesoriów</t>
  </si>
  <si>
    <t>KIWZP32_S1</t>
  </si>
  <si>
    <t>po zabiciu gryfa</t>
  </si>
  <si>
    <t>KIWZP32_S2</t>
  </si>
  <si>
    <t>po odbiorze pieniędzy za pozowanie</t>
  </si>
  <si>
    <t>KIWZP32_S3</t>
  </si>
  <si>
    <t>za zapłatę za obraz</t>
  </si>
  <si>
    <t>KIWZP32_S4</t>
  </si>
  <si>
    <t>KIWZP33</t>
  </si>
  <si>
    <t>Ścieżki Przeznaczenia</t>
  </si>
  <si>
    <t>KIWZP33_BLOCK</t>
  </si>
  <si>
    <t>po przeczytaniu inskrypcji</t>
  </si>
  <si>
    <t>KIWZP33_S1</t>
  </si>
  <si>
    <t>KIWZP33_S2</t>
  </si>
  <si>
    <t>KIWZP34</t>
  </si>
  <si>
    <t>W służbie muzy</t>
  </si>
  <si>
    <t>KIWZP34_BLOCK</t>
  </si>
  <si>
    <t>KIWZP34_S1</t>
  </si>
  <si>
    <t>KIWZP35</t>
  </si>
  <si>
    <t>O czym szepczą grzyby</t>
  </si>
  <si>
    <t>KIWZP35_BLOCK</t>
  </si>
  <si>
    <t>KIWZP35_S1</t>
  </si>
  <si>
    <t>KIWZP36</t>
  </si>
  <si>
    <t>Jeśli nie chcesz mojej zguby…</t>
  </si>
  <si>
    <t>KIWZP36_BLOCK</t>
  </si>
  <si>
    <t>Zakończ zadanie (nie pozwól rycerzowi zginąć)</t>
  </si>
  <si>
    <t>KIWZP36_S1</t>
  </si>
  <si>
    <t>KIWZP37</t>
  </si>
  <si>
    <t>Równowaga w przyrodzie</t>
  </si>
  <si>
    <t>KIWZP37_BLOCK</t>
  </si>
  <si>
    <t>zabijamy bazyliszka</t>
  </si>
  <si>
    <t>KIWZP37_S1</t>
  </si>
  <si>
    <t>KIWZP37_PATH_A</t>
  </si>
  <si>
    <t>oszczędzamy bazyliszka</t>
  </si>
  <si>
    <t>KIWZP37_PATH_B</t>
  </si>
  <si>
    <t>KIWZP38</t>
  </si>
  <si>
    <t>Gę, gę, gę!</t>
  </si>
  <si>
    <t>KIWZP38_BLOCK</t>
  </si>
  <si>
    <t>KIWZP38_S1</t>
  </si>
  <si>
    <t>KIWZP39</t>
  </si>
  <si>
    <t>Skarby spod celi</t>
  </si>
  <si>
    <t>KIWZP39_BLOCK</t>
  </si>
  <si>
    <t>KIWZP39_S1</t>
  </si>
  <si>
    <t>KIWZW1</t>
  </si>
  <si>
    <t>Zlecenie winiarzy: Magazyn na Cichym Brzegu</t>
  </si>
  <si>
    <t>KIWZW1_BLOCK</t>
  </si>
  <si>
    <t>KIWZW1_S1</t>
  </si>
  <si>
    <t>KIWZW2</t>
  </si>
  <si>
    <t>Zlecenie: Łaciate kłopoty</t>
  </si>
  <si>
    <t>KIWZW2_BLOCK</t>
  </si>
  <si>
    <t>po zbadaniu dźwigu</t>
  </si>
  <si>
    <t>KIWZW2_S1</t>
  </si>
  <si>
    <t>po wejściu do gniada oszluzgów</t>
  </si>
  <si>
    <t>KIWZW2_S2</t>
  </si>
  <si>
    <t>po zniszczeniu gniazda oszluzgów</t>
  </si>
  <si>
    <t>KIWZW2_S3</t>
  </si>
  <si>
    <t>KIWZW2_S4</t>
  </si>
  <si>
    <t>KIWZW3</t>
  </si>
  <si>
    <t>Zlecenie winiarzy: Jaskinia Szept</t>
  </si>
  <si>
    <t>KIWZW3_BLOCK</t>
  </si>
  <si>
    <t>KIWZW3_S1</t>
  </si>
  <si>
    <t>KIWZW4</t>
  </si>
  <si>
    <t>Zlecenie winiarzy: Wzgórze Dun Tynne</t>
  </si>
  <si>
    <t>KIWZW4_BLOCK</t>
  </si>
  <si>
    <t>KIWZW4_S1</t>
  </si>
  <si>
    <t>KIWZW5</t>
  </si>
  <si>
    <t>Zlecenie winiarzy: Koci Grzbiet</t>
  </si>
  <si>
    <t>KIWZW5_BLOCK</t>
  </si>
  <si>
    <t>KIWZW5_S1</t>
  </si>
  <si>
    <t>KIWZW6</t>
  </si>
  <si>
    <t>Zlecenie winiarzy: Szara Grota</t>
  </si>
  <si>
    <t>KIWZW6_BLOCK</t>
  </si>
  <si>
    <t>KIWZW6_S1</t>
  </si>
  <si>
    <t>KIWZW7</t>
  </si>
  <si>
    <t>Zlecenie: Monstrum z Tufo</t>
  </si>
  <si>
    <t>KIWZW7_BLOCK</t>
  </si>
  <si>
    <t>za zniszczenie jaj kikimor</t>
  </si>
  <si>
    <t>KIWZW7_S1</t>
  </si>
  <si>
    <t>nie niszcz jaj kikimor</t>
  </si>
  <si>
    <t>za przekazanie wisiorka Andrée</t>
  </si>
  <si>
    <t>KIWZW7_S2a / KIWZW7_S2b</t>
  </si>
  <si>
    <t>KIWZW7_PATH_A</t>
  </si>
  <si>
    <t>za poinformowanie monsieura o zdradzie żony</t>
  </si>
  <si>
    <t>KIWZW7_PATH_B</t>
  </si>
  <si>
    <t>KIWZW7_S3a/b</t>
  </si>
  <si>
    <t>KIWP1</t>
  </si>
  <si>
    <t>Poszukiwania: arcymistrzowski rynsztunek Wilka</t>
  </si>
  <si>
    <t>KIWP1_BLOCK</t>
  </si>
  <si>
    <t>KIWP1_S1</t>
  </si>
  <si>
    <t>KIWP2</t>
  </si>
  <si>
    <t>Poszukiwania: arcymistrzowski rynsztunek Niedźwiedzia</t>
  </si>
  <si>
    <t>KIWP2_BLOCK</t>
  </si>
  <si>
    <t>KIWP2_S1</t>
  </si>
  <si>
    <t>KIWP3</t>
  </si>
  <si>
    <t>Poszukiwania: arcymistrzowski rynsztunek Mantikory</t>
  </si>
  <si>
    <t>KIWP3_BLOCK</t>
  </si>
  <si>
    <t>KIWP3_S1</t>
  </si>
  <si>
    <t>KIWP4</t>
  </si>
  <si>
    <t>Poszukiwania: arcymistrzowski rynsztunek Kota</t>
  </si>
  <si>
    <t>KIWP4_BLOCK</t>
  </si>
  <si>
    <t>KIWP4_S1</t>
  </si>
  <si>
    <t>KIWP5</t>
  </si>
  <si>
    <t>Poszukiwania: arcymistrzowski rynsztunek Gryfa</t>
  </si>
  <si>
    <t>KIWP5_BLOCK</t>
  </si>
  <si>
    <t>KIWP5_S1</t>
  </si>
  <si>
    <t>relationship_id</t>
  </si>
  <si>
    <t>source_step_id</t>
  </si>
  <si>
    <t>relationship_type</t>
  </si>
  <si>
    <t>target_step_uid</t>
  </si>
  <si>
    <t>WO_REL_0001</t>
  </si>
  <si>
    <t>WOF1_BLOCK</t>
  </si>
  <si>
    <t>in_block</t>
  </si>
  <si>
    <t>WO_REL_0002</t>
  </si>
  <si>
    <t>requires</t>
  </si>
  <si>
    <t>WO_REL_0003</t>
  </si>
  <si>
    <t>WO_REL_0004</t>
  </si>
  <si>
    <t>WOF1_S3a</t>
  </si>
  <si>
    <t>WO_REL_0005</t>
  </si>
  <si>
    <t>WOF1_S3b</t>
  </si>
  <si>
    <t>WO_REL_0006</t>
  </si>
  <si>
    <t>unlocks</t>
  </si>
  <si>
    <t>WO_REL_0007</t>
  </si>
  <si>
    <t>WO_REL_0008</t>
  </si>
  <si>
    <t>WO_REL_0009</t>
  </si>
  <si>
    <t>WO_REL_0010</t>
  </si>
  <si>
    <t>WO_REL_0011</t>
  </si>
  <si>
    <t>WO_REL_0012</t>
  </si>
  <si>
    <t>WO_REL_0013</t>
  </si>
  <si>
    <t>WOF2_S3</t>
  </si>
  <si>
    <t>WO_REL_0014</t>
  </si>
  <si>
    <t>WOF2_S5a</t>
  </si>
  <si>
    <t>WO_REL_0015</t>
  </si>
  <si>
    <t>WOF2_S5b</t>
  </si>
  <si>
    <t>WO_REL_0016</t>
  </si>
  <si>
    <t>WO_REL_0017</t>
  </si>
  <si>
    <t>WOF3_S2</t>
  </si>
  <si>
    <t>WO_REL_0018</t>
  </si>
  <si>
    <t>WOF4_S1</t>
  </si>
  <si>
    <t>WO_REL_0019</t>
  </si>
  <si>
    <t>WO_REL_0020</t>
  </si>
  <si>
    <t>WOF4_S2a</t>
  </si>
  <si>
    <t>WO_REL_0021</t>
  </si>
  <si>
    <t>WO_REL_0022</t>
  </si>
  <si>
    <t>WOF5_S2b</t>
  </si>
  <si>
    <t>WO_REL_0023</t>
  </si>
  <si>
    <t>WOF6_S2c</t>
  </si>
  <si>
    <t>WO_REL_0024</t>
  </si>
  <si>
    <t>WOF6_BLOCK</t>
  </si>
  <si>
    <t>WO_REL_0025</t>
  </si>
  <si>
    <t>WOF6_S3c</t>
  </si>
  <si>
    <t>WO_REL_0026</t>
  </si>
  <si>
    <t>WO_REL_0027</t>
  </si>
  <si>
    <t>WO_REL_0028</t>
  </si>
  <si>
    <t>blocks</t>
  </si>
  <si>
    <t>WO_REL_0029</t>
  </si>
  <si>
    <t>WO_REL_0030</t>
  </si>
  <si>
    <t>WOZP1_S2</t>
  </si>
  <si>
    <t>WO_REL_0031</t>
  </si>
  <si>
    <t>WO_REL_0032</t>
  </si>
  <si>
    <t>WO_REL_0033</t>
  </si>
  <si>
    <t>WO_REL_0034</t>
  </si>
  <si>
    <t>WO_REL_0035</t>
  </si>
  <si>
    <t>WO_REL_0036</t>
  </si>
  <si>
    <t>WOZP2_S2</t>
  </si>
  <si>
    <t>WO_REL_0037</t>
  </si>
  <si>
    <t>WO_REL_0038</t>
  </si>
  <si>
    <t>WO_REL_0039</t>
  </si>
  <si>
    <t>WO_REL_0040</t>
  </si>
  <si>
    <t>WO_REL_0041</t>
  </si>
  <si>
    <t>WO_REL_0042</t>
  </si>
  <si>
    <t>WOZP3_S2a</t>
  </si>
  <si>
    <t>WO_REL_0043</t>
  </si>
  <si>
    <t>WO_REL_0044</t>
  </si>
  <si>
    <t>WO_REL_0045</t>
  </si>
  <si>
    <t>WOZP3_S2b</t>
  </si>
  <si>
    <t>WO_REL_0046</t>
  </si>
  <si>
    <t>WO_REL_0047</t>
  </si>
  <si>
    <t>WO_REL_0048</t>
  </si>
  <si>
    <t>WOZP4_S1</t>
  </si>
  <si>
    <t>WO_REL_0049</t>
  </si>
  <si>
    <t>WO_REL_0050</t>
  </si>
  <si>
    <t>WO_REL_0051</t>
  </si>
  <si>
    <t>WOZP4_S2</t>
  </si>
  <si>
    <t>WO_REL_0052</t>
  </si>
  <si>
    <t>WO_REL_0053</t>
  </si>
  <si>
    <t>WO_REL_0054</t>
  </si>
  <si>
    <t>WO_REL_0055</t>
  </si>
  <si>
    <t>WO_REL_0056</t>
  </si>
  <si>
    <t>WO_REL_0057</t>
  </si>
  <si>
    <t>WO_REL_0058</t>
  </si>
  <si>
    <t>WOZP5_BLOCK_A</t>
  </si>
  <si>
    <t>WO_REL_0059</t>
  </si>
  <si>
    <t>WOZP5_S3a</t>
  </si>
  <si>
    <t>WO_REL_0060</t>
  </si>
  <si>
    <t>WO_REL_0061</t>
  </si>
  <si>
    <t>WO_REL_0062</t>
  </si>
  <si>
    <t>WO_REL_0063</t>
  </si>
  <si>
    <t>WO_REL_0064</t>
  </si>
  <si>
    <t>WOZP5_BLOCK_B</t>
  </si>
  <si>
    <t>WO_REL_0065</t>
  </si>
  <si>
    <t>WOZP5_S3b</t>
  </si>
  <si>
    <t>WO_REL_0066</t>
  </si>
  <si>
    <t>WO_REL_0067</t>
  </si>
  <si>
    <t>WO_REL_0068</t>
  </si>
  <si>
    <t>WO_REL_0069</t>
  </si>
  <si>
    <t>WO_REL_0070</t>
  </si>
  <si>
    <t>WOZP5_BLOCK_C</t>
  </si>
  <si>
    <t>WO_REL_0071</t>
  </si>
  <si>
    <t>WOZP5_S3c</t>
  </si>
  <si>
    <t>WO_REL_0072</t>
  </si>
  <si>
    <t>WO_REL_0073</t>
  </si>
  <si>
    <t>WO_REL_0074</t>
  </si>
  <si>
    <t>WO_REL_0075</t>
  </si>
  <si>
    <t>WO_REL_0076</t>
  </si>
  <si>
    <t>WO_REL_0077</t>
  </si>
  <si>
    <t>WOZW1_S2</t>
  </si>
  <si>
    <t>WO_REL_0078</t>
  </si>
  <si>
    <t>WO_REL_0079</t>
  </si>
  <si>
    <t>WO_REL_0080</t>
  </si>
  <si>
    <t>WOP1_S1</t>
  </si>
  <si>
    <t>WO_REL_0081</t>
  </si>
  <si>
    <t>WO_REL_0082</t>
  </si>
  <si>
    <t>WOP2_S1</t>
  </si>
  <si>
    <t>WO_REL_0083</t>
  </si>
  <si>
    <t>WO_REL_0084</t>
  </si>
  <si>
    <t>WOP3_S1</t>
  </si>
  <si>
    <t>WO_REL_0085</t>
  </si>
  <si>
    <t>WO_REL_0086</t>
  </si>
  <si>
    <t>WOF2_PATH_A</t>
  </si>
  <si>
    <t>excludes_path</t>
  </si>
  <si>
    <t>WOF2_PATH_B</t>
  </si>
  <si>
    <t>WO_REL_0087</t>
  </si>
  <si>
    <t>WOZP3_PATH_A</t>
  </si>
  <si>
    <t>WOZP3_PATH_B</t>
  </si>
  <si>
    <t>WO_REL_0088</t>
  </si>
  <si>
    <t>WOZP5_PATH_A</t>
  </si>
  <si>
    <t>WOZP5_PATH_B</t>
  </si>
  <si>
    <t>WO_REL_0089</t>
  </si>
  <si>
    <t>WOZP5_PATH_C</t>
  </si>
  <si>
    <t>WO_REL_0090</t>
  </si>
  <si>
    <t>VZ_REL_0001</t>
  </si>
  <si>
    <t>VZ_REL_0002</t>
  </si>
  <si>
    <t>VZ_REL_0003</t>
  </si>
  <si>
    <t>VZ_REL_0004</t>
  </si>
  <si>
    <t>VZ_REL_0005</t>
  </si>
  <si>
    <t>VZ_REL_0006</t>
  </si>
  <si>
    <t>VZ_REL_0007</t>
  </si>
  <si>
    <t>VZ_REL_0008</t>
  </si>
  <si>
    <t>VZ_REL_0009</t>
  </si>
  <si>
    <t>VZ_REL_0010</t>
  </si>
  <si>
    <t>VEL_REL_0001</t>
  </si>
  <si>
    <t>VEL_REL_0002</t>
  </si>
  <si>
    <t>VEL_REL_0003</t>
  </si>
  <si>
    <t>VEL_REL_0004</t>
  </si>
  <si>
    <t>VEL_REL_0005</t>
  </si>
  <si>
    <t>VEL_REL_0006</t>
  </si>
  <si>
    <t>VEL_REL_0007</t>
  </si>
  <si>
    <t>VF2_S2a</t>
  </si>
  <si>
    <t>VEL_REL_0008</t>
  </si>
  <si>
    <t>VEL_REL_0009</t>
  </si>
  <si>
    <t>VF2_S2b</t>
  </si>
  <si>
    <t>VEL_REL_0010</t>
  </si>
  <si>
    <t>VEL_REL_0011</t>
  </si>
  <si>
    <t>VEL_REL_0012</t>
  </si>
  <si>
    <t>VEL_REL_0013</t>
  </si>
  <si>
    <t>VEL_REL_0014</t>
  </si>
  <si>
    <t>VEL_REL_0015</t>
  </si>
  <si>
    <t>VEL_REL_0016</t>
  </si>
  <si>
    <t>VEL_REL_0017</t>
  </si>
  <si>
    <t>VEL_REL_0018</t>
  </si>
  <si>
    <t>VEL_REL_0019</t>
  </si>
  <si>
    <t>VEL_REL_0020</t>
  </si>
  <si>
    <t>VF3_S4a</t>
  </si>
  <si>
    <t>VEL_REL_0021</t>
  </si>
  <si>
    <t>VEL_REL_0022</t>
  </si>
  <si>
    <t>VF3_S4b</t>
  </si>
  <si>
    <t>VEL_REL_0023</t>
  </si>
  <si>
    <t>VEL_REL_0024</t>
  </si>
  <si>
    <t>VEL_REL_0025</t>
  </si>
  <si>
    <t>VEL_REL_0026</t>
  </si>
  <si>
    <t>VEL_REL_0027</t>
  </si>
  <si>
    <t>VEL_REL_0028</t>
  </si>
  <si>
    <t>VF3_S7a</t>
  </si>
  <si>
    <t>VEL_REL_0029</t>
  </si>
  <si>
    <t>VEL_REL_0030</t>
  </si>
  <si>
    <t>VF3_S7b</t>
  </si>
  <si>
    <t>VEL_REL_0031</t>
  </si>
  <si>
    <t>VEL_REL_0032</t>
  </si>
  <si>
    <t>VEL_REL_0033</t>
  </si>
  <si>
    <t>VEL_REL_0034</t>
  </si>
  <si>
    <t>VEL_REL_0035</t>
  </si>
  <si>
    <t>VF3_S9</t>
  </si>
  <si>
    <t>VEL_REL_0036</t>
  </si>
  <si>
    <t>VEL_REL_0037</t>
  </si>
  <si>
    <t>VEL_REL_0038</t>
  </si>
  <si>
    <t>VEL_REL_0039</t>
  </si>
  <si>
    <t>VEL_REL_0040</t>
  </si>
  <si>
    <t>VEL_REL_0041</t>
  </si>
  <si>
    <t>VEL_REL_0042</t>
  </si>
  <si>
    <t>VEL_REL_0043</t>
  </si>
  <si>
    <t>VEL_REL_0044</t>
  </si>
  <si>
    <t>VEL_REL_0045</t>
  </si>
  <si>
    <t>VEL_REL_0046</t>
  </si>
  <si>
    <t>VEL_REL_0047</t>
  </si>
  <si>
    <t>VEL_REL_0048</t>
  </si>
  <si>
    <t>VEL_REL_0049</t>
  </si>
  <si>
    <t>VF6_S2</t>
  </si>
  <si>
    <t>VEL_REL_0050</t>
  </si>
  <si>
    <t>VEL_REL_0051</t>
  </si>
  <si>
    <t>VEL_REL_0052</t>
  </si>
  <si>
    <t>VEL_REL_0053</t>
  </si>
  <si>
    <t>VF7_S2a</t>
  </si>
  <si>
    <t>VEL_REL_0054</t>
  </si>
  <si>
    <t>VEL_REL_0055</t>
  </si>
  <si>
    <t>VF7_S2b</t>
  </si>
  <si>
    <t>VEL_REL_0056</t>
  </si>
  <si>
    <t>VEL_REL_0057</t>
  </si>
  <si>
    <t>VF7_S2c</t>
  </si>
  <si>
    <t>VEL_REL_0058</t>
  </si>
  <si>
    <t>VEL_REL_0059</t>
  </si>
  <si>
    <t>VEL_REL_0060</t>
  </si>
  <si>
    <t>VEL_REL_0061</t>
  </si>
  <si>
    <t>VEL_REL_0062</t>
  </si>
  <si>
    <t>VEL_REL_0063</t>
  </si>
  <si>
    <t>VEL_REL_0064</t>
  </si>
  <si>
    <t>VEL_REL_0065</t>
  </si>
  <si>
    <t>VEL_REL_0066</t>
  </si>
  <si>
    <t>VEL_REL_0067</t>
  </si>
  <si>
    <t>VEL_REL_0068</t>
  </si>
  <si>
    <t>VEL_REL_0069</t>
  </si>
  <si>
    <t>VEL_REL_0070</t>
  </si>
  <si>
    <t>VEL_REL_0071</t>
  </si>
  <si>
    <t>VEL_REL_0072</t>
  </si>
  <si>
    <t>VEL_REL_0073</t>
  </si>
  <si>
    <t>VEL_REL_0074</t>
  </si>
  <si>
    <t>VEL_REL_0075</t>
  </si>
  <si>
    <t>VEL_REL_0076</t>
  </si>
  <si>
    <t>VEL_REL_0077</t>
  </si>
  <si>
    <t>VEL_REL_0078</t>
  </si>
  <si>
    <t>VEL_REL_0079</t>
  </si>
  <si>
    <t>VEL_REL_0080</t>
  </si>
  <si>
    <t>VEL_REL_0081</t>
  </si>
  <si>
    <t>VEL_REL_0082</t>
  </si>
  <si>
    <t>VEL_REL_0083</t>
  </si>
  <si>
    <t>VEL_REL_0084</t>
  </si>
  <si>
    <t>VEL_REL_0085</t>
  </si>
  <si>
    <t>VEL_REL_0086</t>
  </si>
  <si>
    <t>VEL_REL_0087</t>
  </si>
  <si>
    <t>VEL_REL_0088</t>
  </si>
  <si>
    <t>VEL_REL_0089</t>
  </si>
  <si>
    <t>VEL_REL_0090</t>
  </si>
  <si>
    <t>VEL_REL_0091</t>
  </si>
  <si>
    <t>VEL_REL_0092</t>
  </si>
  <si>
    <t>VEL_REL_0093</t>
  </si>
  <si>
    <t>VEL_REL_0094</t>
  </si>
  <si>
    <t>VEL_REL_0095</t>
  </si>
  <si>
    <t>VEL_REL_0096</t>
  </si>
  <si>
    <t>VEL_REL_0097</t>
  </si>
  <si>
    <t>VEL_REL_0098</t>
  </si>
  <si>
    <t>VEL_REL_0099</t>
  </si>
  <si>
    <t>VEL_REL_0100</t>
  </si>
  <si>
    <t>VEL_REL_0101</t>
  </si>
  <si>
    <t>VEL_REL_0102</t>
  </si>
  <si>
    <t>VEL_REL_0103</t>
  </si>
  <si>
    <t>VEL_REL_0104</t>
  </si>
  <si>
    <t>VEL_REL_0105</t>
  </si>
  <si>
    <t>VF14_S2</t>
  </si>
  <si>
    <t>VEL_REL_0106</t>
  </si>
  <si>
    <t>VEL_REL_0107</t>
  </si>
  <si>
    <t>VEL_REL_0108</t>
  </si>
  <si>
    <t>VEL_REL_0109</t>
  </si>
  <si>
    <t>VEL_REL_0110</t>
  </si>
  <si>
    <t>VEL_REL_0111</t>
  </si>
  <si>
    <t>VEL_REL_0112</t>
  </si>
  <si>
    <t>VF15_S3</t>
  </si>
  <si>
    <t>VEL_REL_0113</t>
  </si>
  <si>
    <t>VEL_REL_0114</t>
  </si>
  <si>
    <t>VEL_REL_0115</t>
  </si>
  <si>
    <t>VEL_REL_0116</t>
  </si>
  <si>
    <t>VZB1NA_S2</t>
  </si>
  <si>
    <t>VEL_REL_0117</t>
  </si>
  <si>
    <t>VEL_REL_0118</t>
  </si>
  <si>
    <t>VEL_REL_0119</t>
  </si>
  <si>
    <t>VEL_REL_0120</t>
  </si>
  <si>
    <t>VEL_REL_0121</t>
  </si>
  <si>
    <t>VEL_REL_0122</t>
  </si>
  <si>
    <t>VZB2NA_S3</t>
  </si>
  <si>
    <t>VEL_REL_0123</t>
  </si>
  <si>
    <t>VEL_REL_0124</t>
  </si>
  <si>
    <t>VEL_REL_0125</t>
  </si>
  <si>
    <t>VZB3NA_S2</t>
  </si>
  <si>
    <t>VEL_REL_0126</t>
  </si>
  <si>
    <t>VEL_REL_0127</t>
  </si>
  <si>
    <t>VEL_REL_0128</t>
  </si>
  <si>
    <t>VEL_REL_0129</t>
  </si>
  <si>
    <t>VZB4NA_S2a</t>
  </si>
  <si>
    <t>VEL_REL_0130</t>
  </si>
  <si>
    <t>VEL_REL_0131</t>
  </si>
  <si>
    <t>VZB4NA_S2b</t>
  </si>
  <si>
    <t>VEL_REL_0132</t>
  </si>
  <si>
    <t>VEL_REL_0133</t>
  </si>
  <si>
    <t>VZB4NA_S3</t>
  </si>
  <si>
    <t>VEL_REL_0134</t>
  </si>
  <si>
    <t>VEL_REL_0135</t>
  </si>
  <si>
    <t>VEL_REL_0136</t>
  </si>
  <si>
    <t>VEL_REL_0137</t>
  </si>
  <si>
    <t>VEL_REL_0138</t>
  </si>
  <si>
    <t>VZB5NA_S4</t>
  </si>
  <si>
    <t>VEL_REL_0139</t>
  </si>
  <si>
    <t>VEL_REL_0140</t>
  </si>
  <si>
    <t>VEL_REL_0141</t>
  </si>
  <si>
    <t>VEL_REL_0142</t>
  </si>
  <si>
    <t>VEL_REL_0143</t>
  </si>
  <si>
    <t>VZB6NA_S3</t>
  </si>
  <si>
    <t>VEL_REL_0144</t>
  </si>
  <si>
    <t>VEL_REL_0145</t>
  </si>
  <si>
    <t>VEL_REL_0146</t>
  </si>
  <si>
    <t>VZB7NA_S2</t>
  </si>
  <si>
    <t>VEL_REL_0147</t>
  </si>
  <si>
    <t>VEL_REL_0148</t>
  </si>
  <si>
    <t>VEL_REL_0149</t>
  </si>
  <si>
    <t>VEL_REL_0150</t>
  </si>
  <si>
    <t>VZB8NA_S2</t>
  </si>
  <si>
    <t>VEL_REL_0151</t>
  </si>
  <si>
    <t>VEL_REL_0152</t>
  </si>
  <si>
    <t>VEL_REL_0153</t>
  </si>
  <si>
    <t>VEL_REL_0154</t>
  </si>
  <si>
    <t>VEL_REL_0155</t>
  </si>
  <si>
    <t>VEL_REL_0156</t>
  </si>
  <si>
    <t>VEL_REL_0157</t>
  </si>
  <si>
    <t>VEL_REL_0158</t>
  </si>
  <si>
    <t>VZB9_S4</t>
  </si>
  <si>
    <t>VEL_REL_0159</t>
  </si>
  <si>
    <t>VEL_REL_0160</t>
  </si>
  <si>
    <t>VEL_REL_0161</t>
  </si>
  <si>
    <t>VZB10NA_S3</t>
  </si>
  <si>
    <t>VEL_REL_0162</t>
  </si>
  <si>
    <t>VEL_REL_0163</t>
  </si>
  <si>
    <t>VZB11NA_S2</t>
  </si>
  <si>
    <t>VEL_REL_0164</t>
  </si>
  <si>
    <t>VEL_REL_0165</t>
  </si>
  <si>
    <t>VEL_REL_0166</t>
  </si>
  <si>
    <t>VEL_REL_0167</t>
  </si>
  <si>
    <t>VEL_REL_0168</t>
  </si>
  <si>
    <t>VZB12_S3</t>
  </si>
  <si>
    <t>VEL_REL_0169</t>
  </si>
  <si>
    <t>VEL_REL_0170</t>
  </si>
  <si>
    <t>VEL_REL_0171</t>
  </si>
  <si>
    <t>VEL_REL_0172</t>
  </si>
  <si>
    <t>VEL_REL_0173</t>
  </si>
  <si>
    <t>VZB13NA_S3</t>
  </si>
  <si>
    <t>VEL_REL_0174</t>
  </si>
  <si>
    <t>VEL_REL_0175</t>
  </si>
  <si>
    <t>VEL_REL_0176</t>
  </si>
  <si>
    <t>VEL_REL_0177</t>
  </si>
  <si>
    <t>VZB14NA_S3a</t>
  </si>
  <si>
    <t>VEL_REL_0178</t>
  </si>
  <si>
    <t>VZB14NA_S3b</t>
  </si>
  <si>
    <t>VEL_REL_0179</t>
  </si>
  <si>
    <t>VEL_REL_0180</t>
  </si>
  <si>
    <t>VEL_REL_0181</t>
  </si>
  <si>
    <t>VEL_REL_0182</t>
  </si>
  <si>
    <t>VEL_REL_0183</t>
  </si>
  <si>
    <t>VEL_REL_0184</t>
  </si>
  <si>
    <t>VEL_REL_0185</t>
  </si>
  <si>
    <t>VEL_REL_0186</t>
  </si>
  <si>
    <t>VZB15_S6</t>
  </si>
  <si>
    <t>VEL_REL_0187</t>
  </si>
  <si>
    <t>VEL_REL_0188</t>
  </si>
  <si>
    <t>VEL_REL_0189</t>
  </si>
  <si>
    <t>VZB16_S2</t>
  </si>
  <si>
    <t>VEL_REL_0190</t>
  </si>
  <si>
    <t>VEL_REL_0191</t>
  </si>
  <si>
    <t>VEL_REL_0192</t>
  </si>
  <si>
    <t>VEL_REL_0193</t>
  </si>
  <si>
    <t>VEL_REL_0194</t>
  </si>
  <si>
    <t>VZB17_S2</t>
  </si>
  <si>
    <t>VEL_REL_0195</t>
  </si>
  <si>
    <t>VEL_REL_0196</t>
  </si>
  <si>
    <t>VEL_REL_0197</t>
  </si>
  <si>
    <t>VEL_REL_0198</t>
  </si>
  <si>
    <t>VEL_REL_0199</t>
  </si>
  <si>
    <t>VEL_REL_0200</t>
  </si>
  <si>
    <t>VZB18_S2</t>
  </si>
  <si>
    <t>VEL_REL_0201</t>
  </si>
  <si>
    <t>VEL_REL_0202</t>
  </si>
  <si>
    <t>VEL_REL_0203</t>
  </si>
  <si>
    <t>VZB19_S1</t>
  </si>
  <si>
    <t>VEL_REL_0204</t>
  </si>
  <si>
    <t>VEL_REL_0205</t>
  </si>
  <si>
    <t>VEL_REL_0206</t>
  </si>
  <si>
    <t>VEL_REL_0207</t>
  </si>
  <si>
    <t>VEL_REL_0208</t>
  </si>
  <si>
    <t>VEL_REL_0209</t>
  </si>
  <si>
    <t>VEL_REL_0210</t>
  </si>
  <si>
    <t>VEL_REL_0211</t>
  </si>
  <si>
    <t>VEL_REL_0212</t>
  </si>
  <si>
    <t>VEL_REL_0213</t>
  </si>
  <si>
    <t>VEL_REL_0214</t>
  </si>
  <si>
    <t>VEL_REL_0215</t>
  </si>
  <si>
    <t>VEL_REL_0216</t>
  </si>
  <si>
    <t>VEL_REL_0217</t>
  </si>
  <si>
    <t>VEL_REL_0218</t>
  </si>
  <si>
    <t>VEL_REL_0219</t>
  </si>
  <si>
    <t>VEL_REL_0220</t>
  </si>
  <si>
    <t>VEL_REL_0221</t>
  </si>
  <si>
    <t>VEL_REL_0222</t>
  </si>
  <si>
    <t>VEL_REL_0223</t>
  </si>
  <si>
    <t>VEL_REL_0224</t>
  </si>
  <si>
    <t>VEL_REL_0225</t>
  </si>
  <si>
    <t>VEL_REL_0226</t>
  </si>
  <si>
    <t>VEL_REL_0227</t>
  </si>
  <si>
    <t>VEL_REL_0228</t>
  </si>
  <si>
    <t>VEL_REL_0229</t>
  </si>
  <si>
    <t>VEL_REL_0230</t>
  </si>
  <si>
    <t>VEL_REL_0231</t>
  </si>
  <si>
    <t>VEL_REL_0232</t>
  </si>
  <si>
    <t>VEL_REL_0233</t>
  </si>
  <si>
    <t>VZB20_S10a</t>
  </si>
  <si>
    <t>VEL_REL_0234</t>
  </si>
  <si>
    <t>VEL_REL_0235</t>
  </si>
  <si>
    <t>VEL_REL_0236</t>
  </si>
  <si>
    <t>VZB20_S10b</t>
  </si>
  <si>
    <t>VEL_REL_0237</t>
  </si>
  <si>
    <t>VEL_REL_0238</t>
  </si>
  <si>
    <t>VEL_REL_0239</t>
  </si>
  <si>
    <t>VEL_REL_0240</t>
  </si>
  <si>
    <t>VEL_REL_0241</t>
  </si>
  <si>
    <t>VEL_REL_0242</t>
  </si>
  <si>
    <t>VEL_REL_0243</t>
  </si>
  <si>
    <t>VEL_REL_0244</t>
  </si>
  <si>
    <t>VEL_REL_0245</t>
  </si>
  <si>
    <t>VEL_REL_0246</t>
  </si>
  <si>
    <t>VEL_REL_0247</t>
  </si>
  <si>
    <t>VEL_REL_0248</t>
  </si>
  <si>
    <t>VEL_REL_0249</t>
  </si>
  <si>
    <t>VEL_REL_0250</t>
  </si>
  <si>
    <t>VEL_REL_0251</t>
  </si>
  <si>
    <t>VEL_REL_0252</t>
  </si>
  <si>
    <t>VEL_REL_0253</t>
  </si>
  <si>
    <t>VEL_REL_0254</t>
  </si>
  <si>
    <t>VEL_REL_0255</t>
  </si>
  <si>
    <t>VEL_REL_0256</t>
  </si>
  <si>
    <t>VZB23_S4</t>
  </si>
  <si>
    <t>VEL_REL_0257</t>
  </si>
  <si>
    <t>VEL_REL_0258</t>
  </si>
  <si>
    <t>VEL_REL_0259</t>
  </si>
  <si>
    <t>VEL_REL_0260</t>
  </si>
  <si>
    <t>VEL_REL_0261</t>
  </si>
  <si>
    <t>VEL_REL_0262</t>
  </si>
  <si>
    <t>VEL_REL_0263</t>
  </si>
  <si>
    <t>VEL_REL_0264</t>
  </si>
  <si>
    <t>VZB25_S2</t>
  </si>
  <si>
    <t>VEL_REL_0265</t>
  </si>
  <si>
    <t>VEL_REL_0266</t>
  </si>
  <si>
    <t>VEL_REL_0267</t>
  </si>
  <si>
    <t>VEL_REL_0268</t>
  </si>
  <si>
    <t>VEL_REL_0269</t>
  </si>
  <si>
    <t>VEL_REL_0270</t>
  </si>
  <si>
    <t>VEL_REL_0271</t>
  </si>
  <si>
    <t>VZB26_S3</t>
  </si>
  <si>
    <t>VEL_REL_0272</t>
  </si>
  <si>
    <t>VEL_REL_0273</t>
  </si>
  <si>
    <t>VEL_REL_0274</t>
  </si>
  <si>
    <t>VEL_REL_0275</t>
  </si>
  <si>
    <t>VEL_REL_0276</t>
  </si>
  <si>
    <t>VZB27_S2ab</t>
  </si>
  <si>
    <t>VEL_REL_0277</t>
  </si>
  <si>
    <t>VEL_REL_0278</t>
  </si>
  <si>
    <t>VZB27_S2ac</t>
  </si>
  <si>
    <t>VEL_REL_0279</t>
  </si>
  <si>
    <t>VEL_REL_0280</t>
  </si>
  <si>
    <t>VZB27_S1b</t>
  </si>
  <si>
    <t>VEL_REL_0281</t>
  </si>
  <si>
    <t>VEL_REL_0282</t>
  </si>
  <si>
    <t>VEL_REL_0283</t>
  </si>
  <si>
    <t>VEL_REL_0284</t>
  </si>
  <si>
    <t>VEL_REL_0285</t>
  </si>
  <si>
    <t>VEL_REL_0286</t>
  </si>
  <si>
    <t>VEL_REL_0287</t>
  </si>
  <si>
    <t>VEL_REL_0288</t>
  </si>
  <si>
    <t>VZB28_S4a</t>
  </si>
  <si>
    <t>VEL_REL_0289</t>
  </si>
  <si>
    <t>VEL_REL_0290</t>
  </si>
  <si>
    <t>VZB28_S4b</t>
  </si>
  <si>
    <t>VEL_REL_0291</t>
  </si>
  <si>
    <t>VEL_REL_0292</t>
  </si>
  <si>
    <t>VEL_REL_0293</t>
  </si>
  <si>
    <t>VEL_REL_0294</t>
  </si>
  <si>
    <t>VZB29_S2</t>
  </si>
  <si>
    <t>VEL_REL_0295</t>
  </si>
  <si>
    <t>VEL_REL_0296</t>
  </si>
  <si>
    <t>VEL_REL_0297</t>
  </si>
  <si>
    <t>VEL_REL_0298</t>
  </si>
  <si>
    <t>VZB30_S2</t>
  </si>
  <si>
    <t>VEL_REL_0299</t>
  </si>
  <si>
    <t>VEL_REL_0300</t>
  </si>
  <si>
    <t>VEL_REL_0301</t>
  </si>
  <si>
    <t>VEL_REL_0302</t>
  </si>
  <si>
    <t>VEL_REL_0303</t>
  </si>
  <si>
    <t>VEL_REL_0304</t>
  </si>
  <si>
    <t>VEL_REL_0305</t>
  </si>
  <si>
    <t>VEL_REL_0306</t>
  </si>
  <si>
    <t>VZB31_S3a</t>
  </si>
  <si>
    <t>VEL_REL_0307</t>
  </si>
  <si>
    <t>VZB31_S3b</t>
  </si>
  <si>
    <t>VEL_REL_0308</t>
  </si>
  <si>
    <t>VZB31_S3c</t>
  </si>
  <si>
    <t>VEL_REL_0309</t>
  </si>
  <si>
    <t>VEL_REL_0310</t>
  </si>
  <si>
    <t>VEL_REL_0311</t>
  </si>
  <si>
    <t>VZB32_S2</t>
  </si>
  <si>
    <t>VEL_REL_0312</t>
  </si>
  <si>
    <t>VEL_REL_0313</t>
  </si>
  <si>
    <t>VEL_REL_0314</t>
  </si>
  <si>
    <t>VEL_REL_0315</t>
  </si>
  <si>
    <t>VEL_REL_0316</t>
  </si>
  <si>
    <t>VEL_REL_0317</t>
  </si>
  <si>
    <t>VEL_REL_0318</t>
  </si>
  <si>
    <t>VZB33_S4</t>
  </si>
  <si>
    <t>VEL_REL_0319</t>
  </si>
  <si>
    <t>VEL_REL_0320</t>
  </si>
  <si>
    <t>VEL_REL_0321</t>
  </si>
  <si>
    <t>VEL_REL_0322</t>
  </si>
  <si>
    <t>VEL_REL_0323</t>
  </si>
  <si>
    <t>VEL_REL_0324</t>
  </si>
  <si>
    <t>VEL_REL_0325</t>
  </si>
  <si>
    <t>VZB34_S3a</t>
  </si>
  <si>
    <t>VEL_REL_0326</t>
  </si>
  <si>
    <t>VEL_REL_0327</t>
  </si>
  <si>
    <t>VZB34_S3b</t>
  </si>
  <si>
    <t>VEL_REL_0328</t>
  </si>
  <si>
    <t>VEL_REL_0329</t>
  </si>
  <si>
    <t>VEL_REL_0330</t>
  </si>
  <si>
    <t>VEL_REL_0331</t>
  </si>
  <si>
    <t>VZB35_S2a</t>
  </si>
  <si>
    <t>VEL_REL_0332</t>
  </si>
  <si>
    <t>VEL_REL_0333</t>
  </si>
  <si>
    <t>VZB35_S2b</t>
  </si>
  <si>
    <t>VEL_REL_0334</t>
  </si>
  <si>
    <t>VEL_REL_0335</t>
  </si>
  <si>
    <t>VEL_REL_0336</t>
  </si>
  <si>
    <t>VEL_REL_0337</t>
  </si>
  <si>
    <t>VEL_REL_0338</t>
  </si>
  <si>
    <t>VEL_REL_0339</t>
  </si>
  <si>
    <t>VEL_REL_0340</t>
  </si>
  <si>
    <t>VZB36_S4</t>
  </si>
  <si>
    <t>VEL_REL_0341</t>
  </si>
  <si>
    <t>VEL_REL_0342</t>
  </si>
  <si>
    <t>VEL_REL_0343</t>
  </si>
  <si>
    <t>VZB37_S2</t>
  </si>
  <si>
    <t>VEL_REL_0344</t>
  </si>
  <si>
    <t>VEL_REL_0345</t>
  </si>
  <si>
    <t>VEL_REL_0346</t>
  </si>
  <si>
    <t>VEL_REL_0347</t>
  </si>
  <si>
    <t>VEL_REL_0348</t>
  </si>
  <si>
    <t>VEL_REL_0349</t>
  </si>
  <si>
    <t>VZB38_S3</t>
  </si>
  <si>
    <t>VEL_REL_0350</t>
  </si>
  <si>
    <t>VEL_REL_0351</t>
  </si>
  <si>
    <t>VEL_REL_0352</t>
  </si>
  <si>
    <t>VEL_REL_0353</t>
  </si>
  <si>
    <t>VZB39_S4</t>
  </si>
  <si>
    <t>VEL_REL_0354</t>
  </si>
  <si>
    <t>VEL_REL_0355</t>
  </si>
  <si>
    <t>VEL_REL_0356</t>
  </si>
  <si>
    <t>VZB40_S2</t>
  </si>
  <si>
    <t>VEL_REL_0357</t>
  </si>
  <si>
    <t>VEL_REL_0358</t>
  </si>
  <si>
    <t>VEL_REL_0359</t>
  </si>
  <si>
    <t>VEL_REL_0360</t>
  </si>
  <si>
    <t>VZB41_S2</t>
  </si>
  <si>
    <t>VEL_REL_0361</t>
  </si>
  <si>
    <t>VEL_REL_0362</t>
  </si>
  <si>
    <t>VEL_REL_0363</t>
  </si>
  <si>
    <t>VEL_REL_0364</t>
  </si>
  <si>
    <t>VZB42_S2</t>
  </si>
  <si>
    <t>VEL_REL_0365</t>
  </si>
  <si>
    <t>VEL_REL_0366</t>
  </si>
  <si>
    <t>VZB43_S1</t>
  </si>
  <si>
    <t>VEL_REL_0367</t>
  </si>
  <si>
    <t>VEL_REL_0368</t>
  </si>
  <si>
    <t>VZB43_S2</t>
  </si>
  <si>
    <t>VEL_REL_0369</t>
  </si>
  <si>
    <t>VEL_REL_0370</t>
  </si>
  <si>
    <t>VEL_REL_0371</t>
  </si>
  <si>
    <t>VEL_REL_0372</t>
  </si>
  <si>
    <t>VZB44_S2</t>
  </si>
  <si>
    <t>VEL_REL_0373</t>
  </si>
  <si>
    <t>VEL_REL_0374</t>
  </si>
  <si>
    <t>VEL_REL_0375</t>
  </si>
  <si>
    <t>VEL_REL_0376</t>
  </si>
  <si>
    <t>VEL_REL_0377</t>
  </si>
  <si>
    <t>VEL_REL_0378</t>
  </si>
  <si>
    <t>VEL_REL_0379</t>
  </si>
  <si>
    <t>VEL_REL_0380</t>
  </si>
  <si>
    <t>VEL_REL_0381</t>
  </si>
  <si>
    <t>VZW1_S2</t>
  </si>
  <si>
    <t>VEL_REL_0382</t>
  </si>
  <si>
    <t>VEL_REL_0383</t>
  </si>
  <si>
    <t>VEL_REL_0384</t>
  </si>
  <si>
    <t>VEL_REL_0385</t>
  </si>
  <si>
    <t>VZW2_S2a</t>
  </si>
  <si>
    <t>VEL_REL_0386</t>
  </si>
  <si>
    <t>VEL_REL_0387</t>
  </si>
  <si>
    <t>VZW2_S2b</t>
  </si>
  <si>
    <t>VEL_REL_0388</t>
  </si>
  <si>
    <t>VEL_REL_0389</t>
  </si>
  <si>
    <t>VEL_REL_0390</t>
  </si>
  <si>
    <t>VEL_REL_0391</t>
  </si>
  <si>
    <t>VZW3_S2a</t>
  </si>
  <si>
    <t>VEL_REL_0392</t>
  </si>
  <si>
    <t>VEL_REL_0393</t>
  </si>
  <si>
    <t>VZW3_S2b</t>
  </si>
  <si>
    <t>VEL_REL_0394</t>
  </si>
  <si>
    <t>VEL_REL_0395</t>
  </si>
  <si>
    <t>VEL_REL_0396</t>
  </si>
  <si>
    <t>VEL_REL_0397</t>
  </si>
  <si>
    <t>VZW4_S2</t>
  </si>
  <si>
    <t>VEL_REL_0398</t>
  </si>
  <si>
    <t>VEL_REL_0399</t>
  </si>
  <si>
    <t>VEL_REL_0400</t>
  </si>
  <si>
    <t>VEL_REL_0401</t>
  </si>
  <si>
    <t>VEL_REL_0402</t>
  </si>
  <si>
    <t>VEL_REL_0403</t>
  </si>
  <si>
    <t>VEL_REL_0404</t>
  </si>
  <si>
    <t>VEL_REL_0405</t>
  </si>
  <si>
    <t>VZW6_S2</t>
  </si>
  <si>
    <t>VEL_REL_0406</t>
  </si>
  <si>
    <t>VEL_REL_0407</t>
  </si>
  <si>
    <t>VEL_REL_0408</t>
  </si>
  <si>
    <t>VEL_REL_0409</t>
  </si>
  <si>
    <t>VZW7_S2</t>
  </si>
  <si>
    <t>VEL_REL_0410</t>
  </si>
  <si>
    <t>VEL_REL_0411</t>
  </si>
  <si>
    <t>VEL_REL_0412</t>
  </si>
  <si>
    <t>VEL_REL_0413</t>
  </si>
  <si>
    <t>VZW8_S2</t>
  </si>
  <si>
    <t>VEL_REL_0414</t>
  </si>
  <si>
    <t>VEL_REL_0415</t>
  </si>
  <si>
    <t>VEL_REL_0416</t>
  </si>
  <si>
    <t>VEL_REL_0417</t>
  </si>
  <si>
    <t>VZW9_S2</t>
  </si>
  <si>
    <t>VEL_REL_0418</t>
  </si>
  <si>
    <t>VEL_REL_0419</t>
  </si>
  <si>
    <t>VEL_REL_0420</t>
  </si>
  <si>
    <t>VEL_REL_0421</t>
  </si>
  <si>
    <t>VEL_REL_0422</t>
  </si>
  <si>
    <t>VEL_REL_0423</t>
  </si>
  <si>
    <t>VEL_REL_0424</t>
  </si>
  <si>
    <t>VEL_REL_0425</t>
  </si>
  <si>
    <t>VEL_REL_0426</t>
  </si>
  <si>
    <t>VEL_REL_0427</t>
  </si>
  <si>
    <t>VEL_REL_0428</t>
  </si>
  <si>
    <t>VEL_REL_0429</t>
  </si>
  <si>
    <t>VEL_REL_0430</t>
  </si>
  <si>
    <t>VZW12_S2a</t>
  </si>
  <si>
    <t>VEL_REL_0431</t>
  </si>
  <si>
    <t>VEL_REL_0432</t>
  </si>
  <si>
    <t>VZW12_S2b</t>
  </si>
  <si>
    <t>VEL_REL_0433</t>
  </si>
  <si>
    <t>VEL_REL_0434</t>
  </si>
  <si>
    <t>VZW12_S2c</t>
  </si>
  <si>
    <t>VEL_REL_0435</t>
  </si>
  <si>
    <t>VEL_REL_0436</t>
  </si>
  <si>
    <t>VEL_REL_0437</t>
  </si>
  <si>
    <t>VEL_REL_0438</t>
  </si>
  <si>
    <t>SZKF1_S2a</t>
  </si>
  <si>
    <t>VEL_REL_0439</t>
  </si>
  <si>
    <t>VEL_REL_0440</t>
  </si>
  <si>
    <t>SZKF1_S2b</t>
  </si>
  <si>
    <t>VEL_REL_0441</t>
  </si>
  <si>
    <t>VEL_REL_0442</t>
  </si>
  <si>
    <t>VEL_REL_0443</t>
  </si>
  <si>
    <t>VEL_REL_0444</t>
  </si>
  <si>
    <t>VEL_REL_0445</t>
  </si>
  <si>
    <t>VEL_REL_0446</t>
  </si>
  <si>
    <t>VEL_REL_0447</t>
  </si>
  <si>
    <t>SZKF1_S5a</t>
  </si>
  <si>
    <t>VEL_REL_0448</t>
  </si>
  <si>
    <t>VEL_REL_0449</t>
  </si>
  <si>
    <t>SZKF1_S5b</t>
  </si>
  <si>
    <t>VEL_REL_0450</t>
  </si>
  <si>
    <t>VEL_REL_0451</t>
  </si>
  <si>
    <t>VEL_REL_0452</t>
  </si>
  <si>
    <t>VEL_REL_0453</t>
  </si>
  <si>
    <t>VEL_REL_0454</t>
  </si>
  <si>
    <t>VEL_REL_0455</t>
  </si>
  <si>
    <t>VEL_REL_0456</t>
  </si>
  <si>
    <t>VEL_REL_0457</t>
  </si>
  <si>
    <t>VEL_REL_0458</t>
  </si>
  <si>
    <t>VEL_REL_0459</t>
  </si>
  <si>
    <t>VEL_REL_0460</t>
  </si>
  <si>
    <t>VEL_REL_0461</t>
  </si>
  <si>
    <t>VEL_REL_0462</t>
  </si>
  <si>
    <t>VEL_REL_0463</t>
  </si>
  <si>
    <t>VEL_REL_0464</t>
  </si>
  <si>
    <t>VEL_REL_0465</t>
  </si>
  <si>
    <t>VEL_REL_0466</t>
  </si>
  <si>
    <t>VEL_REL_0467</t>
  </si>
  <si>
    <t>VEL_REL_0468</t>
  </si>
  <si>
    <t>VEL_REL_0469</t>
  </si>
  <si>
    <t>VEL_REL_0470</t>
  </si>
  <si>
    <t>VEL_REL_0471</t>
  </si>
  <si>
    <t>VEL_REL_0472</t>
  </si>
  <si>
    <t>VEL_REL_0473</t>
  </si>
  <si>
    <t>VEL_REL_0474</t>
  </si>
  <si>
    <t>VEL_REL_0475</t>
  </si>
  <si>
    <t>VEL_REL_0476</t>
  </si>
  <si>
    <t>VEL_REL_0477</t>
  </si>
  <si>
    <t>VEL_REL_0478</t>
  </si>
  <si>
    <t>SZKF2_S12</t>
  </si>
  <si>
    <t>VEL_REL_0479</t>
  </si>
  <si>
    <t>VEL_REL_0480</t>
  </si>
  <si>
    <t>VEL_REL_0481</t>
  </si>
  <si>
    <t>VEL_REL_0482</t>
  </si>
  <si>
    <t>VEL_REL_0483</t>
  </si>
  <si>
    <t>VEL_REL_0484</t>
  </si>
  <si>
    <t>VEL_REL_0485</t>
  </si>
  <si>
    <t>VEL_REL_0486</t>
  </si>
  <si>
    <t>VEL_REL_0487</t>
  </si>
  <si>
    <t>VEL_REL_0488</t>
  </si>
  <si>
    <t>VEL_REL_0489</t>
  </si>
  <si>
    <t>VEL_REL_0490</t>
  </si>
  <si>
    <t>VEL_REL_0491</t>
  </si>
  <si>
    <t>VEL_REL_0492</t>
  </si>
  <si>
    <t>VEL_REL_0493</t>
  </si>
  <si>
    <t>SZKF6_S3</t>
  </si>
  <si>
    <t>VEL_REL_0494</t>
  </si>
  <si>
    <t>SZKF5_S3</t>
  </si>
  <si>
    <t>VEL_REL_0495</t>
  </si>
  <si>
    <t>SZKF4_S3</t>
  </si>
  <si>
    <t>VEL_REL_0496</t>
  </si>
  <si>
    <t>VEL_REL_0497</t>
  </si>
  <si>
    <t>VEL_REL_0498</t>
  </si>
  <si>
    <t>VEL_REL_0499</t>
  </si>
  <si>
    <t>VEL_REL_0500</t>
  </si>
  <si>
    <t>VEL_REL_0501</t>
  </si>
  <si>
    <t>VEL_REL_0502</t>
  </si>
  <si>
    <t>VEL_REL_0503</t>
  </si>
  <si>
    <t>SZKF3_S12</t>
  </si>
  <si>
    <t>VEL_REL_0504</t>
  </si>
  <si>
    <t>VEL_REL_0505</t>
  </si>
  <si>
    <t>VEL_REL_0506</t>
  </si>
  <si>
    <t>VEL_REL_0507</t>
  </si>
  <si>
    <t>VEL_REL_0508</t>
  </si>
  <si>
    <t>VEL_REL_0509</t>
  </si>
  <si>
    <t>VEL_REL_0510</t>
  </si>
  <si>
    <t>VEL_REL_0511</t>
  </si>
  <si>
    <t>VEL_REL_0512</t>
  </si>
  <si>
    <t>VEL_REL_0513</t>
  </si>
  <si>
    <t>SZKF5_S2a</t>
  </si>
  <si>
    <t>VEL_REL_0514</t>
  </si>
  <si>
    <t>VEL_REL_0515</t>
  </si>
  <si>
    <t>SZKF5_S2b</t>
  </si>
  <si>
    <t>VEL_REL_0516</t>
  </si>
  <si>
    <t>VEL_REL_0517</t>
  </si>
  <si>
    <t>VEL_REL_0518</t>
  </si>
  <si>
    <t>VEL_REL_0519</t>
  </si>
  <si>
    <t>VEL_REL_0520</t>
  </si>
  <si>
    <t>VEL_REL_0521</t>
  </si>
  <si>
    <t>VEL_REL_0522</t>
  </si>
  <si>
    <t>VEL_REL_0523</t>
  </si>
  <si>
    <t>VEL_REL_0524</t>
  </si>
  <si>
    <t>VEL_REL_0525</t>
  </si>
  <si>
    <t>VEL_REL_0526</t>
  </si>
  <si>
    <t>VEL_REL_0527</t>
  </si>
  <si>
    <t>VEL_REL_0528</t>
  </si>
  <si>
    <t>VEL_REL_0529</t>
  </si>
  <si>
    <t>VEL_REL_0530</t>
  </si>
  <si>
    <t>VEL_REL_0531</t>
  </si>
  <si>
    <t>VEL_REL_0532</t>
  </si>
  <si>
    <t>VEL_REL_0533</t>
  </si>
  <si>
    <t>VEL_REL_0534</t>
  </si>
  <si>
    <t>VEL_REL_0535</t>
  </si>
  <si>
    <t>VEL_REL_0536</t>
  </si>
  <si>
    <t>VEL_REL_0537</t>
  </si>
  <si>
    <t>VEL_REL_0538</t>
  </si>
  <si>
    <t>VEL_REL_0539</t>
  </si>
  <si>
    <t>VEL_REL_0540</t>
  </si>
  <si>
    <t>VEL_REL_0541</t>
  </si>
  <si>
    <t>VEL_REL_0542</t>
  </si>
  <si>
    <t>VEL_REL_0543</t>
  </si>
  <si>
    <t>VEL_REL_0544</t>
  </si>
  <si>
    <t>SZKF8_S2a</t>
  </si>
  <si>
    <t>VEL_REL_0545</t>
  </si>
  <si>
    <t>VEL_REL_0546</t>
  </si>
  <si>
    <t>SZKF8_S2b</t>
  </si>
  <si>
    <t>VEL_REL_0547</t>
  </si>
  <si>
    <t>VEL_REL_0548</t>
  </si>
  <si>
    <t>SZKF8_S3aa</t>
  </si>
  <si>
    <t>VEL_REL_0549</t>
  </si>
  <si>
    <t>VEL_REL_0550</t>
  </si>
  <si>
    <t>SZKF8_S3ab</t>
  </si>
  <si>
    <t>VEL_REL_0551</t>
  </si>
  <si>
    <t>VEL_REL_0552</t>
  </si>
  <si>
    <t>VEL_REL_0553</t>
  </si>
  <si>
    <t>VEL_REL_0554</t>
  </si>
  <si>
    <t>SZKZP1_S2a</t>
  </si>
  <si>
    <t>VEL_REL_0555</t>
  </si>
  <si>
    <t>VEL_REL_0556</t>
  </si>
  <si>
    <t>SZKZP1_S2b</t>
  </si>
  <si>
    <t>VEL_REL_0557</t>
  </si>
  <si>
    <t>VEL_REL_0558</t>
  </si>
  <si>
    <t>VEL_REL_0559</t>
  </si>
  <si>
    <t>VEL_REL_0560</t>
  </si>
  <si>
    <t>SZKZP2_S2a</t>
  </si>
  <si>
    <t>VEL_REL_0561</t>
  </si>
  <si>
    <t>VEL_REL_0562</t>
  </si>
  <si>
    <t>SZKZP2_S2b</t>
  </si>
  <si>
    <t>VEL_REL_0563</t>
  </si>
  <si>
    <t>VEL_REL_0564</t>
  </si>
  <si>
    <t>VEL_REL_0565</t>
  </si>
  <si>
    <t>VEL_REL_0566</t>
  </si>
  <si>
    <t>SZKZP3_S2</t>
  </si>
  <si>
    <t>VEL_REL_0567</t>
  </si>
  <si>
    <t>VEL_REL_0568</t>
  </si>
  <si>
    <t>VEL_REL_0569</t>
  </si>
  <si>
    <t>VEL_REL_0570</t>
  </si>
  <si>
    <t>VEL_REL_0571</t>
  </si>
  <si>
    <t>VEL_REL_0572</t>
  </si>
  <si>
    <t>VEL_REL_0573</t>
  </si>
  <si>
    <t>VEL_REL_0574</t>
  </si>
  <si>
    <t>VEL_REL_0575</t>
  </si>
  <si>
    <t>VEL_REL_0576</t>
  </si>
  <si>
    <t>VEL_REL_0577</t>
  </si>
  <si>
    <t>SZKZP5_S4</t>
  </si>
  <si>
    <t>VEL_REL_0578</t>
  </si>
  <si>
    <t>VEL_REL_0579</t>
  </si>
  <si>
    <t>VEL_REL_0580</t>
  </si>
  <si>
    <t>SZKZP6_S2a</t>
  </si>
  <si>
    <t>VEL_REL_0581</t>
  </si>
  <si>
    <t>VEL_REL_0582</t>
  </si>
  <si>
    <t>SZKZP6_S2b</t>
  </si>
  <si>
    <t>VEL_REL_0583</t>
  </si>
  <si>
    <t>VEL_REL_0584</t>
  </si>
  <si>
    <t>SZKZP6_S3</t>
  </si>
  <si>
    <t>VEL_REL_0585</t>
  </si>
  <si>
    <t>VEL_REL_0586</t>
  </si>
  <si>
    <t>VEL_REL_0587</t>
  </si>
  <si>
    <t>VEL_REL_0588</t>
  </si>
  <si>
    <t>VEL_REL_0589</t>
  </si>
  <si>
    <t>VEL_REL_0590</t>
  </si>
  <si>
    <t>VEL_REL_0591</t>
  </si>
  <si>
    <t>VEL_REL_0592</t>
  </si>
  <si>
    <t>SZKZP8_S2</t>
  </si>
  <si>
    <t>VEL_REL_0593</t>
  </si>
  <si>
    <t>VEL_REL_0594</t>
  </si>
  <si>
    <t>VEL_REL_0595</t>
  </si>
  <si>
    <t>VEL_REL_0596</t>
  </si>
  <si>
    <t>VEL_REL_0597</t>
  </si>
  <si>
    <t>VEL_REL_0598</t>
  </si>
  <si>
    <t>VEL_REL_0599</t>
  </si>
  <si>
    <t>VEL_REL_0600</t>
  </si>
  <si>
    <t>VEL_REL_0601</t>
  </si>
  <si>
    <t>VEL_REL_0602</t>
  </si>
  <si>
    <t>VEL_REL_0603</t>
  </si>
  <si>
    <t>VEL_REL_0604</t>
  </si>
  <si>
    <t>VEL_REL_0605</t>
  </si>
  <si>
    <t>VEL_REL_0606</t>
  </si>
  <si>
    <t>VEL_REL_0607</t>
  </si>
  <si>
    <t>VEL_REL_0608</t>
  </si>
  <si>
    <t>VEL_REL_0609</t>
  </si>
  <si>
    <t>VEL_REL_0610</t>
  </si>
  <si>
    <t>VEL_REL_0611</t>
  </si>
  <si>
    <t>VEL_REL_0612</t>
  </si>
  <si>
    <t>VEL_REL_0613</t>
  </si>
  <si>
    <t>VEL_REL_0614</t>
  </si>
  <si>
    <t>VEL_REL_0615</t>
  </si>
  <si>
    <t>VEL_REL_0616</t>
  </si>
  <si>
    <t>VEL_REL_0617</t>
  </si>
  <si>
    <t>VEL_REL_0618</t>
  </si>
  <si>
    <t>VEL_REL_0619</t>
  </si>
  <si>
    <t>VEL_REL_0620</t>
  </si>
  <si>
    <t>VEL_REL_0621</t>
  </si>
  <si>
    <t>VEL_REL_0622</t>
  </si>
  <si>
    <t>VEL_REL_0623</t>
  </si>
  <si>
    <t>VEL_REL_0624</t>
  </si>
  <si>
    <t>NOV_REL_0001</t>
  </si>
  <si>
    <t>NOV_REL_0002</t>
  </si>
  <si>
    <t>NOV_REL_0003</t>
  </si>
  <si>
    <t>NF1_S2a</t>
  </si>
  <si>
    <t>NOV_REL_0004</t>
  </si>
  <si>
    <t>NOV_REL_0005</t>
  </si>
  <si>
    <t>NF1_S2b</t>
  </si>
  <si>
    <t>NOV_REL_0006</t>
  </si>
  <si>
    <t>NOV_REL_0007</t>
  </si>
  <si>
    <t>NF1_S2c</t>
  </si>
  <si>
    <t>NOV_REL_0008</t>
  </si>
  <si>
    <t>NOV_REL_0009</t>
  </si>
  <si>
    <t>NOV_REL_0010</t>
  </si>
  <si>
    <t>NOV_REL_0011</t>
  </si>
  <si>
    <t>NOV_REL_0012</t>
  </si>
  <si>
    <t>NOV_REL_0013</t>
  </si>
  <si>
    <t>NOV_REL_0014</t>
  </si>
  <si>
    <t>NOV_REL_0015</t>
  </si>
  <si>
    <t>NOV_REL_0016</t>
  </si>
  <si>
    <t>NOV_REL_0017</t>
  </si>
  <si>
    <t>NF2_S2a</t>
  </si>
  <si>
    <t>NOV_REL_0018</t>
  </si>
  <si>
    <t>NOV_REL_0019</t>
  </si>
  <si>
    <t>NOV_REL_0020</t>
  </si>
  <si>
    <t>NOV_REL_0021</t>
  </si>
  <si>
    <t>NF2_S3b</t>
  </si>
  <si>
    <t>NOV_REL_0022</t>
  </si>
  <si>
    <t>NOV_REL_0023</t>
  </si>
  <si>
    <t>NOV_REL_0024</t>
  </si>
  <si>
    <t>NOV_REL_0025</t>
  </si>
  <si>
    <t>NOV_REL_0026</t>
  </si>
  <si>
    <t>NOV_REL_0027</t>
  </si>
  <si>
    <t>NOV_REL_0028</t>
  </si>
  <si>
    <t>NOV_REL_0029</t>
  </si>
  <si>
    <t>NF3_S5a</t>
  </si>
  <si>
    <t>NOV_REL_0030</t>
  </si>
  <si>
    <t>NF3_S5b</t>
  </si>
  <si>
    <t>NOV_REL_0031</t>
  </si>
  <si>
    <t>NOV_REL_0032</t>
  </si>
  <si>
    <t>NOV_REL_0033</t>
  </si>
  <si>
    <t>NOV_REL_0034</t>
  </si>
  <si>
    <t>NOV_REL_0035</t>
  </si>
  <si>
    <t>NOV_REL_0036</t>
  </si>
  <si>
    <t>NOV_REL_0037</t>
  </si>
  <si>
    <t>NOV_REL_0038</t>
  </si>
  <si>
    <t>NOV_REL_0039</t>
  </si>
  <si>
    <t>NOV_REL_0040</t>
  </si>
  <si>
    <t>NOV_REL_0041</t>
  </si>
  <si>
    <t>NOV_REL_0042</t>
  </si>
  <si>
    <t>NOV_REL_0043</t>
  </si>
  <si>
    <t>NF4_S4a</t>
  </si>
  <si>
    <t>NOV_REL_0044</t>
  </si>
  <si>
    <t>NF4_S4b</t>
  </si>
  <si>
    <t>NOV_REL_0045</t>
  </si>
  <si>
    <t>NOV_REL_0046</t>
  </si>
  <si>
    <t>NOV_REL_0047</t>
  </si>
  <si>
    <t>NOV_REL_0048</t>
  </si>
  <si>
    <t>NOV_REL_0049</t>
  </si>
  <si>
    <t>NOV_REL_0050</t>
  </si>
  <si>
    <t>NOV_REL_0051</t>
  </si>
  <si>
    <t>NOV_REL_0052</t>
  </si>
  <si>
    <t>NOV_REL_0053</t>
  </si>
  <si>
    <t>NOV_REL_0054</t>
  </si>
  <si>
    <t>NOV_REL_0055</t>
  </si>
  <si>
    <t>NOV_REL_0056</t>
  </si>
  <si>
    <t>NOV_REL_0057</t>
  </si>
  <si>
    <t>NOV_REL_0058</t>
  </si>
  <si>
    <t>NOV_REL_0059</t>
  </si>
  <si>
    <t>NOV_REL_0060</t>
  </si>
  <si>
    <t>NOV_REL_0061</t>
  </si>
  <si>
    <t>NOV_REL_0062</t>
  </si>
  <si>
    <t>NOV_REL_0063</t>
  </si>
  <si>
    <t>NOV_REL_0064</t>
  </si>
  <si>
    <t>NOV_REL_0065</t>
  </si>
  <si>
    <t>NOV_REL_0066</t>
  </si>
  <si>
    <t>NOV_REL_0067</t>
  </si>
  <si>
    <t>NOV_REL_0068</t>
  </si>
  <si>
    <t>NF7_S6a</t>
  </si>
  <si>
    <t>NOV_REL_0069</t>
  </si>
  <si>
    <t>NOV_REL_0070</t>
  </si>
  <si>
    <t>NOV_REL_0071</t>
  </si>
  <si>
    <t>NOV_REL_0072</t>
  </si>
  <si>
    <t>NOV_REL_0073</t>
  </si>
  <si>
    <t>NOV_REL_0074</t>
  </si>
  <si>
    <t>NOV_REL_0075</t>
  </si>
  <si>
    <t>NOV_REL_0076</t>
  </si>
  <si>
    <t>NOV_REL_0077</t>
  </si>
  <si>
    <t>NOV_REL_0078</t>
  </si>
  <si>
    <t>NOV_REL_0079</t>
  </si>
  <si>
    <t>NOV_REL_0080</t>
  </si>
  <si>
    <t>NOV_REL_0081</t>
  </si>
  <si>
    <t>NOV_REL_0082</t>
  </si>
  <si>
    <t>NOV_REL_0083</t>
  </si>
  <si>
    <t>NOV_REL_0084</t>
  </si>
  <si>
    <t>NOV_REL_0085</t>
  </si>
  <si>
    <t>NOV_REL_0086</t>
  </si>
  <si>
    <t>NOV_REL_0087</t>
  </si>
  <si>
    <t>NOV_REL_0088</t>
  </si>
  <si>
    <t>NF10_S2</t>
  </si>
  <si>
    <t>NOV_REL_0089</t>
  </si>
  <si>
    <t>NOV_REL_0090</t>
  </si>
  <si>
    <t>NOV_REL_0091</t>
  </si>
  <si>
    <t>NOV_REL_0092</t>
  </si>
  <si>
    <t>NOV_REL_0093</t>
  </si>
  <si>
    <t>NF11_S2a</t>
  </si>
  <si>
    <t>NOV_REL_0094</t>
  </si>
  <si>
    <t>NOV_REL_0095</t>
  </si>
  <si>
    <t>NOV_REL_0096</t>
  </si>
  <si>
    <t>NF11_S2b</t>
  </si>
  <si>
    <t>NOV_REL_0097</t>
  </si>
  <si>
    <t>NOV_REL_0098</t>
  </si>
  <si>
    <t>NOV_REL_0099</t>
  </si>
  <si>
    <t>NOV_REL_0100</t>
  </si>
  <si>
    <t>NOV_REL_0101</t>
  </si>
  <si>
    <t>NOV_REL_0102</t>
  </si>
  <si>
    <t>NOV_REL_0103</t>
  </si>
  <si>
    <t>NOV_REL_0104</t>
  </si>
  <si>
    <t>NOV_REL_0105</t>
  </si>
  <si>
    <t>NOV_REL_0106</t>
  </si>
  <si>
    <t>NOV_REL_0107</t>
  </si>
  <si>
    <t>NOV_REL_0108</t>
  </si>
  <si>
    <t>NOV_REL_0109</t>
  </si>
  <si>
    <t>NOV_REL_0110</t>
  </si>
  <si>
    <t>NOV_REL_0111</t>
  </si>
  <si>
    <t>NOV_REL_0112</t>
  </si>
  <si>
    <t>NOV_REL_0113</t>
  </si>
  <si>
    <t>NOV_REL_0114</t>
  </si>
  <si>
    <t>NOV_REL_0115</t>
  </si>
  <si>
    <t>NOV_REL_0116</t>
  </si>
  <si>
    <t>NOV_REL_0117</t>
  </si>
  <si>
    <t>NOV_REL_0118</t>
  </si>
  <si>
    <t>NOV_REL_0119</t>
  </si>
  <si>
    <t>NOV_REL_0120</t>
  </si>
  <si>
    <t>NOV_REL_0121</t>
  </si>
  <si>
    <t>NOV_REL_0122</t>
  </si>
  <si>
    <t>NOV_REL_0123</t>
  </si>
  <si>
    <t>NOV_REL_0124</t>
  </si>
  <si>
    <t>NOV_REL_0125</t>
  </si>
  <si>
    <t>NOV_REL_0126</t>
  </si>
  <si>
    <t>NOV_REL_0127</t>
  </si>
  <si>
    <t>NOV_REL_0128</t>
  </si>
  <si>
    <t>NOV_REL_0129</t>
  </si>
  <si>
    <t>NOV_REL_0130</t>
  </si>
  <si>
    <t>NF18_S1</t>
  </si>
  <si>
    <t>NOV_REL_0131</t>
  </si>
  <si>
    <t>NOV_REL_0132</t>
  </si>
  <si>
    <t>NF18_S2</t>
  </si>
  <si>
    <t>NOV_REL_0133</t>
  </si>
  <si>
    <t>NOV_REL_0134</t>
  </si>
  <si>
    <t>NOV_REL_0135</t>
  </si>
  <si>
    <t>NOV_REL_0136</t>
  </si>
  <si>
    <t>NOV_REL_0137</t>
  </si>
  <si>
    <t>NOV_REL_0138</t>
  </si>
  <si>
    <t>NOV_REL_0139</t>
  </si>
  <si>
    <t>NOV_REL_0140</t>
  </si>
  <si>
    <t>NZB1NA_S5</t>
  </si>
  <si>
    <t>NOV_REL_0141</t>
  </si>
  <si>
    <t>NOV_REL_0142</t>
  </si>
  <si>
    <t>NOV_REL_0143</t>
  </si>
  <si>
    <t>NZB3NA_S2</t>
  </si>
  <si>
    <t>NOV_REL_0144</t>
  </si>
  <si>
    <t>NOV_REL_0145</t>
  </si>
  <si>
    <t>NOV_REL_0146</t>
  </si>
  <si>
    <t>NOV_REL_0147</t>
  </si>
  <si>
    <t>NOV_REL_0148</t>
  </si>
  <si>
    <t>NOV_REL_0149</t>
  </si>
  <si>
    <t>NOV_REL_0150</t>
  </si>
  <si>
    <t>NZB4NA_S4</t>
  </si>
  <si>
    <t>NOV_REL_0151</t>
  </si>
  <si>
    <t>NOV_REL_0152</t>
  </si>
  <si>
    <t>NOV_REL_0153</t>
  </si>
  <si>
    <t>NOV_REL_0154</t>
  </si>
  <si>
    <t>NOV_REL_0155</t>
  </si>
  <si>
    <t>NOV_REL_0156</t>
  </si>
  <si>
    <t>NOV_REL_0157</t>
  </si>
  <si>
    <t>NZB5NA_S5</t>
  </si>
  <si>
    <t>NOV_REL_0158</t>
  </si>
  <si>
    <t>NOV_REL_0159</t>
  </si>
  <si>
    <t>NOV_REL_0160</t>
  </si>
  <si>
    <t>NOV_REL_0161</t>
  </si>
  <si>
    <t>NOV_REL_0162</t>
  </si>
  <si>
    <t>NZB6NA_S3</t>
  </si>
  <si>
    <t>NOV_REL_0163</t>
  </si>
  <si>
    <t>NOV_REL_0164</t>
  </si>
  <si>
    <t>NOV_REL_0165</t>
  </si>
  <si>
    <t>NZB7NA_S2</t>
  </si>
  <si>
    <t>NOV_REL_0166</t>
  </si>
  <si>
    <t>NOV_REL_0167</t>
  </si>
  <si>
    <t>NOV_REL_0168</t>
  </si>
  <si>
    <t>NOV_REL_0169</t>
  </si>
  <si>
    <t>NZB8NA_S2a</t>
  </si>
  <si>
    <t>NOV_REL_0170</t>
  </si>
  <si>
    <t>NOV_REL_0171</t>
  </si>
  <si>
    <t>NZB8NA_S2b</t>
  </si>
  <si>
    <t>NOV_REL_0172</t>
  </si>
  <si>
    <t>NOV_REL_0173</t>
  </si>
  <si>
    <t>NOV_REL_0174</t>
  </si>
  <si>
    <t>NOV_REL_0175</t>
  </si>
  <si>
    <t>NZB9NA_S2</t>
  </si>
  <si>
    <t>NOV_REL_0176</t>
  </si>
  <si>
    <t>NOV_REL_0177</t>
  </si>
  <si>
    <t>NOV_REL_0178</t>
  </si>
  <si>
    <t>NOV_REL_0179</t>
  </si>
  <si>
    <t>NZB10NA_S2</t>
  </si>
  <si>
    <t>NOV_REL_0180</t>
  </si>
  <si>
    <t>NOV_REL_0181</t>
  </si>
  <si>
    <t>NOV_REL_0182</t>
  </si>
  <si>
    <t>NOV_REL_0183</t>
  </si>
  <si>
    <t>NOV_REL_0184</t>
  </si>
  <si>
    <t>NOV_REL_0185</t>
  </si>
  <si>
    <t>NOV_REL_0186</t>
  </si>
  <si>
    <t>NOV_REL_0187</t>
  </si>
  <si>
    <t>NZB12NA_S2</t>
  </si>
  <si>
    <t>NOV_REL_0188</t>
  </si>
  <si>
    <t>NOV_REL_0189</t>
  </si>
  <si>
    <t>NOV_REL_0190</t>
  </si>
  <si>
    <t>NOV_REL_0191</t>
  </si>
  <si>
    <t>NZB13NA_S2a</t>
  </si>
  <si>
    <t>NOV_REL_0192</t>
  </si>
  <si>
    <t>NOV_REL_0193</t>
  </si>
  <si>
    <t>NZB13NA_S2b</t>
  </si>
  <si>
    <t>NOV_REL_0194</t>
  </si>
  <si>
    <t>NOV_REL_0195</t>
  </si>
  <si>
    <t>NOV_REL_0196</t>
  </si>
  <si>
    <t>NOV_REL_0197</t>
  </si>
  <si>
    <t>NOV_REL_0198</t>
  </si>
  <si>
    <t>NOV_REL_0199</t>
  </si>
  <si>
    <t>NZB14NA_S3</t>
  </si>
  <si>
    <t>NOV_REL_0200</t>
  </si>
  <si>
    <t>NOV_REL_0201</t>
  </si>
  <si>
    <t>NOV_REL_0202</t>
  </si>
  <si>
    <t>NZB15NA_S2a</t>
  </si>
  <si>
    <t>NOV_REL_0203</t>
  </si>
  <si>
    <t>NOV_REL_0204</t>
  </si>
  <si>
    <t>NZB15NA_S2b</t>
  </si>
  <si>
    <t>NOV_REL_0205</t>
  </si>
  <si>
    <t>NOV_REL_0206</t>
  </si>
  <si>
    <t>NOV_REL_0207</t>
  </si>
  <si>
    <t>NOV_REL_0208</t>
  </si>
  <si>
    <t>NOV_REL_0209</t>
  </si>
  <si>
    <t>NOV_REL_0210</t>
  </si>
  <si>
    <t>NZB16NA_S2</t>
  </si>
  <si>
    <t>NOV_REL_0211</t>
  </si>
  <si>
    <t>NOV_REL_0212</t>
  </si>
  <si>
    <t>NOV_REL_0213</t>
  </si>
  <si>
    <t>NOV_REL_0214</t>
  </si>
  <si>
    <t>NZB17NA_S2</t>
  </si>
  <si>
    <t>NOV_REL_0215</t>
  </si>
  <si>
    <t>NOV_REL_0216</t>
  </si>
  <si>
    <t>NOV_REL_0217</t>
  </si>
  <si>
    <t>NOV_REL_0218</t>
  </si>
  <si>
    <t>NZB18NA_S2a</t>
  </si>
  <si>
    <t>NOV_REL_0219</t>
  </si>
  <si>
    <t>NOV_REL_0220</t>
  </si>
  <si>
    <t>NZB18NA_S2b</t>
  </si>
  <si>
    <t>NOV_REL_0221</t>
  </si>
  <si>
    <t>NOV_REL_0222</t>
  </si>
  <si>
    <t>NOV_REL_0223</t>
  </si>
  <si>
    <t>NOV_REL_0224</t>
  </si>
  <si>
    <t>NOV_REL_0225</t>
  </si>
  <si>
    <t>NOV_REL_0226</t>
  </si>
  <si>
    <t>NZB19NA_S3</t>
  </si>
  <si>
    <t>NOV_REL_0227</t>
  </si>
  <si>
    <t>NOV_REL_0228</t>
  </si>
  <si>
    <t>NOV_REL_0229</t>
  </si>
  <si>
    <t>NOV_REL_0230</t>
  </si>
  <si>
    <t>NZB20NA_S2</t>
  </si>
  <si>
    <t>NOV_REL_0231</t>
  </si>
  <si>
    <t>NOV_REL_0232</t>
  </si>
  <si>
    <t>NOV_REL_0233</t>
  </si>
  <si>
    <t>NOV_REL_0234</t>
  </si>
  <si>
    <t>NZB21_S2</t>
  </si>
  <si>
    <t>NOV_REL_0235</t>
  </si>
  <si>
    <t>NOV_REL_0236</t>
  </si>
  <si>
    <t>NOV_REL_0237</t>
  </si>
  <si>
    <t>NOV_REL_0238</t>
  </si>
  <si>
    <t>NOV_REL_0239</t>
  </si>
  <si>
    <t>NZB22_S1a</t>
  </si>
  <si>
    <t>NOV_REL_0240</t>
  </si>
  <si>
    <t>NOV_REL_0241</t>
  </si>
  <si>
    <t>NOV_REL_0242</t>
  </si>
  <si>
    <t>NZB22_S1b</t>
  </si>
  <si>
    <t>NOV_REL_0243</t>
  </si>
  <si>
    <t>NOV_REL_0244</t>
  </si>
  <si>
    <t>NOV_REL_0245</t>
  </si>
  <si>
    <t>NOV_REL_0246</t>
  </si>
  <si>
    <t>NOV_REL_0247</t>
  </si>
  <si>
    <t>NZB23_S2</t>
  </si>
  <si>
    <t>NOV_REL_0248</t>
  </si>
  <si>
    <t>NOV_REL_0249</t>
  </si>
  <si>
    <t>NOV_REL_0250</t>
  </si>
  <si>
    <t>NOV_REL_0251</t>
  </si>
  <si>
    <t>NZB24_S2</t>
  </si>
  <si>
    <t>NOV_REL_0252</t>
  </si>
  <si>
    <t>NOV_REL_0253</t>
  </si>
  <si>
    <t>NOV_REL_0254</t>
  </si>
  <si>
    <t>NOV_REL_0255</t>
  </si>
  <si>
    <t>NOV_REL_0256</t>
  </si>
  <si>
    <t>NOV_REL_0257</t>
  </si>
  <si>
    <t>NOV_REL_0258</t>
  </si>
  <si>
    <t>NZB25_S4</t>
  </si>
  <si>
    <t>NOV_REL_0259</t>
  </si>
  <si>
    <t>NOV_REL_0260</t>
  </si>
  <si>
    <t>NOV_REL_0261</t>
  </si>
  <si>
    <t>NZB26_S2a</t>
  </si>
  <si>
    <t>NOV_REL_0262</t>
  </si>
  <si>
    <t>NOV_REL_0263</t>
  </si>
  <si>
    <t>NZB26_S2b</t>
  </si>
  <si>
    <t>NOV_REL_0264</t>
  </si>
  <si>
    <t>NOV_REL_0265</t>
  </si>
  <si>
    <t>NZB26_S2c</t>
  </si>
  <si>
    <t>NOV_REL_0266</t>
  </si>
  <si>
    <t>NOV_REL_0267</t>
  </si>
  <si>
    <t>NOV_REL_0268</t>
  </si>
  <si>
    <t>NOV_REL_0269</t>
  </si>
  <si>
    <t>NOV_REL_0270</t>
  </si>
  <si>
    <t>NZB27_S3</t>
  </si>
  <si>
    <t>NOV_REL_0271</t>
  </si>
  <si>
    <t>NOV_REL_0272</t>
  </si>
  <si>
    <t>NOV_REL_0273</t>
  </si>
  <si>
    <t>NOV_REL_0274</t>
  </si>
  <si>
    <t>NOV_REL_0275</t>
  </si>
  <si>
    <t>NOV_REL_0276</t>
  </si>
  <si>
    <t>NZB28_S4</t>
  </si>
  <si>
    <t>NOV_REL_0277</t>
  </si>
  <si>
    <t>NOV_REL_0278</t>
  </si>
  <si>
    <t>NOV_REL_0279</t>
  </si>
  <si>
    <t>NZB29_S2</t>
  </si>
  <si>
    <t>NOV_REL_0280</t>
  </si>
  <si>
    <t>NOV_REL_0281</t>
  </si>
  <si>
    <t>NOV_REL_0282</t>
  </si>
  <si>
    <t>NOV_REL_0283</t>
  </si>
  <si>
    <t>NZB30_S2</t>
  </si>
  <si>
    <t>NOV_REL_0284</t>
  </si>
  <si>
    <t>NOV_REL_0285</t>
  </si>
  <si>
    <t>NOV_REL_0286</t>
  </si>
  <si>
    <t>NOV_REL_0287</t>
  </si>
  <si>
    <t>NOV_REL_0288</t>
  </si>
  <si>
    <t>NOV_REL_0289</t>
  </si>
  <si>
    <t>NOV_REL_0290</t>
  </si>
  <si>
    <t>NOV_REL_0291</t>
  </si>
  <si>
    <t>NOV_REL_0292</t>
  </si>
  <si>
    <t>NOV_REL_0293</t>
  </si>
  <si>
    <t>NOV_REL_0294</t>
  </si>
  <si>
    <t>NOV_REL_0295</t>
  </si>
  <si>
    <t>NOV_REL_0296</t>
  </si>
  <si>
    <t>NZB31_S5a</t>
  </si>
  <si>
    <t>NOV_REL_0297</t>
  </si>
  <si>
    <t>NOV_REL_0298</t>
  </si>
  <si>
    <t>NZB31_S5b</t>
  </si>
  <si>
    <t>NOV_REL_0299</t>
  </si>
  <si>
    <t>NOV_REL_0300</t>
  </si>
  <si>
    <t>NOV_REL_0301</t>
  </si>
  <si>
    <t>NOV_REL_0302</t>
  </si>
  <si>
    <t>NZB32_S2</t>
  </si>
  <si>
    <t>NOV_REL_0303</t>
  </si>
  <si>
    <t>NOV_REL_0304</t>
  </si>
  <si>
    <t>NOV_REL_0305</t>
  </si>
  <si>
    <t>NOV_REL_0306</t>
  </si>
  <si>
    <t>NOV_REL_0307</t>
  </si>
  <si>
    <t>NOV_REL_0308</t>
  </si>
  <si>
    <t>NOV_REL_0309</t>
  </si>
  <si>
    <t>NOV_REL_0310</t>
  </si>
  <si>
    <t>NOV_REL_0311</t>
  </si>
  <si>
    <t>NOV_REL_0312</t>
  </si>
  <si>
    <t>NOV_REL_0313</t>
  </si>
  <si>
    <t>NOV_REL_0314</t>
  </si>
  <si>
    <t>NZB33_S5</t>
  </si>
  <si>
    <t>NOV_REL_0315</t>
  </si>
  <si>
    <t>NOV_REL_0316</t>
  </si>
  <si>
    <t>NOV_REL_0317</t>
  </si>
  <si>
    <t>NOV_REL_0318</t>
  </si>
  <si>
    <t>NOV_REL_0319</t>
  </si>
  <si>
    <t>NOV_REL_0320</t>
  </si>
  <si>
    <t>NOV_REL_0321</t>
  </si>
  <si>
    <t>NOV_REL_0322</t>
  </si>
  <si>
    <t>NOV_REL_0323</t>
  </si>
  <si>
    <t>NOV_REL_0324</t>
  </si>
  <si>
    <t>NZB34_S4</t>
  </si>
  <si>
    <t>NOV_REL_0325</t>
  </si>
  <si>
    <t>NOV_REL_0326</t>
  </si>
  <si>
    <t>NOV_REL_0327</t>
  </si>
  <si>
    <t>NOV_REL_0328</t>
  </si>
  <si>
    <t>NOV_REL_0329</t>
  </si>
  <si>
    <t>NOV_REL_0330</t>
  </si>
  <si>
    <t>NZB35_S3</t>
  </si>
  <si>
    <t>NOV_REL_0331</t>
  </si>
  <si>
    <t>NOV_REL_0332</t>
  </si>
  <si>
    <t>NOV_REL_0333</t>
  </si>
  <si>
    <t>NOV_REL_0334</t>
  </si>
  <si>
    <t>NOV_REL_0335</t>
  </si>
  <si>
    <t>NZB36_S2</t>
  </si>
  <si>
    <t>NOV_REL_0336</t>
  </si>
  <si>
    <t>NOV_REL_0337</t>
  </si>
  <si>
    <t>NOV_REL_0338</t>
  </si>
  <si>
    <t>NOV_REL_0339</t>
  </si>
  <si>
    <t>NOV_REL_0340</t>
  </si>
  <si>
    <t>NOV_REL_0341</t>
  </si>
  <si>
    <t>NZB37_S2</t>
  </si>
  <si>
    <t>NOV_REL_0342</t>
  </si>
  <si>
    <t>NOV_REL_0343</t>
  </si>
  <si>
    <t>NOV_REL_0344</t>
  </si>
  <si>
    <t>NOV_REL_0345</t>
  </si>
  <si>
    <t>NOV_REL_0346</t>
  </si>
  <si>
    <t>NOV_REL_0347</t>
  </si>
  <si>
    <t>NZB38_S2</t>
  </si>
  <si>
    <t>NOV_REL_0348</t>
  </si>
  <si>
    <t>NOV_REL_0349</t>
  </si>
  <si>
    <t>NOV_REL_0350</t>
  </si>
  <si>
    <t>NOV_REL_0351</t>
  </si>
  <si>
    <t>NOV_REL_0352</t>
  </si>
  <si>
    <t>NOV_REL_0353</t>
  </si>
  <si>
    <t>NOV_REL_0354</t>
  </si>
  <si>
    <t>NOV_REL_0355</t>
  </si>
  <si>
    <t>NOV_REL_0356</t>
  </si>
  <si>
    <t>NOV_REL_0357</t>
  </si>
  <si>
    <t>NOV_REL_0358</t>
  </si>
  <si>
    <t>NZB39_S4</t>
  </si>
  <si>
    <t>NOV_REL_0359</t>
  </si>
  <si>
    <t>NOV_REL_0360</t>
  </si>
  <si>
    <t>NOV_REL_0361</t>
  </si>
  <si>
    <t>NOV_REL_0362</t>
  </si>
  <si>
    <t>NZB40_S2</t>
  </si>
  <si>
    <t>NOV_REL_0363</t>
  </si>
  <si>
    <t>NOV_REL_0364</t>
  </si>
  <si>
    <t>NOV_REL_0365</t>
  </si>
  <si>
    <t>NOV_REL_0366</t>
  </si>
  <si>
    <t>NZB41_S2</t>
  </si>
  <si>
    <t>NOV_REL_0367</t>
  </si>
  <si>
    <t>NOV_REL_0368</t>
  </si>
  <si>
    <t>NOV_REL_0369</t>
  </si>
  <si>
    <t>NOV_REL_0370</t>
  </si>
  <si>
    <t>NZB42_S2</t>
  </si>
  <si>
    <t>NOV_REL_0371</t>
  </si>
  <si>
    <t>NOV_REL_0372</t>
  </si>
  <si>
    <t>NOV_REL_0373</t>
  </si>
  <si>
    <t>NOV_REL_0374</t>
  </si>
  <si>
    <t>NOV_REL_0375</t>
  </si>
  <si>
    <t>NOV_REL_0376</t>
  </si>
  <si>
    <t>NOV_REL_0377</t>
  </si>
  <si>
    <t>NOV_REL_0378</t>
  </si>
  <si>
    <t>NOV_REL_0379</t>
  </si>
  <si>
    <t>NOV_REL_0380</t>
  </si>
  <si>
    <t>NOV_REL_0381</t>
  </si>
  <si>
    <t>NOV_REL_0382</t>
  </si>
  <si>
    <t>NOV_REL_0383</t>
  </si>
  <si>
    <t>NOV_REL_0384</t>
  </si>
  <si>
    <t>NOV_REL_0385</t>
  </si>
  <si>
    <t>NOV_REL_0386</t>
  </si>
  <si>
    <t>NOV_REL_0387</t>
  </si>
  <si>
    <t>NOV_REL_0388</t>
  </si>
  <si>
    <t>NOV_REL_0389</t>
  </si>
  <si>
    <t>NOV_REL_0390</t>
  </si>
  <si>
    <t>NOV_REL_0391</t>
  </si>
  <si>
    <t>NZB44_S2</t>
  </si>
  <si>
    <t>NOV_REL_0392</t>
  </si>
  <si>
    <t>NOV_REL_0393</t>
  </si>
  <si>
    <t>NOV_REL_0394</t>
  </si>
  <si>
    <t>NOV_REL_0395</t>
  </si>
  <si>
    <t>NOV_REL_0396</t>
  </si>
  <si>
    <t>NOV_REL_0397</t>
  </si>
  <si>
    <t>NZB45_S2</t>
  </si>
  <si>
    <t>NOV_REL_0398</t>
  </si>
  <si>
    <t>NOV_REL_0399</t>
  </si>
  <si>
    <t>NOV_REL_0400</t>
  </si>
  <si>
    <t>NOV_REL_0401</t>
  </si>
  <si>
    <t>NOV_REL_0402</t>
  </si>
  <si>
    <t>NOV_REL_0403</t>
  </si>
  <si>
    <t>NZB46_S2</t>
  </si>
  <si>
    <t>NOV_REL_0404</t>
  </si>
  <si>
    <t>NOV_REL_0405</t>
  </si>
  <si>
    <t>NOV_REL_0406</t>
  </si>
  <si>
    <t>NOV_REL_0407</t>
  </si>
  <si>
    <t>NOV_REL_0408</t>
  </si>
  <si>
    <t>NOV_REL_0409</t>
  </si>
  <si>
    <t>NOV_REL_0410</t>
  </si>
  <si>
    <t>NOV_REL_0411</t>
  </si>
  <si>
    <t>NOV_REL_0412</t>
  </si>
  <si>
    <t>NOV_REL_0413</t>
  </si>
  <si>
    <t>NOV_REL_0414</t>
  </si>
  <si>
    <t>NOV_REL_0415</t>
  </si>
  <si>
    <t>NOV_REL_0416</t>
  </si>
  <si>
    <t>NOV_REL_0417</t>
  </si>
  <si>
    <t>NOV_REL_0418</t>
  </si>
  <si>
    <t>NOV_REL_0419</t>
  </si>
  <si>
    <t>NOV_REL_0420</t>
  </si>
  <si>
    <t>NZB47_S7a</t>
  </si>
  <si>
    <t>NOV_REL_0421</t>
  </si>
  <si>
    <t>NOV_REL_0422</t>
  </si>
  <si>
    <t>NZB47_S7b</t>
  </si>
  <si>
    <t>NOV_REL_0423</t>
  </si>
  <si>
    <t>NOV_REL_0424</t>
  </si>
  <si>
    <t>NOV_REL_0425</t>
  </si>
  <si>
    <t>NOV_REL_0426</t>
  </si>
  <si>
    <t>NOV_REL_0427</t>
  </si>
  <si>
    <t>NOV_REL_0428</t>
  </si>
  <si>
    <t>NOV_REL_0429</t>
  </si>
  <si>
    <t>NZB48_S2</t>
  </si>
  <si>
    <t>NOV_REL_0430</t>
  </si>
  <si>
    <t>NOV_REL_0431</t>
  </si>
  <si>
    <t>NOV_REL_0432</t>
  </si>
  <si>
    <t>NOV_REL_0433</t>
  </si>
  <si>
    <t>NZB49_S2a</t>
  </si>
  <si>
    <t>NOV_REL_0434</t>
  </si>
  <si>
    <t>NOV_REL_0435</t>
  </si>
  <si>
    <t>NZB49_S2b</t>
  </si>
  <si>
    <t>NOV_REL_0436</t>
  </si>
  <si>
    <t>NOV_REL_0437</t>
  </si>
  <si>
    <t>NOV_REL_0438</t>
  </si>
  <si>
    <t>NOV_REL_0439</t>
  </si>
  <si>
    <t>NOV_REL_0440</t>
  </si>
  <si>
    <t>NOV_REL_0441</t>
  </si>
  <si>
    <t>NOV_REL_0442</t>
  </si>
  <si>
    <t>NOV_REL_0443</t>
  </si>
  <si>
    <t>NZB50_S3</t>
  </si>
  <si>
    <t>NOV_REL_0444</t>
  </si>
  <si>
    <t>NOV_REL_0445</t>
  </si>
  <si>
    <t>NOV_REL_0446</t>
  </si>
  <si>
    <t>NOV_REL_0447</t>
  </si>
  <si>
    <t>NZB51_S2</t>
  </si>
  <si>
    <t>NOV_REL_0448</t>
  </si>
  <si>
    <t>NOV_REL_0449</t>
  </si>
  <si>
    <t>NOV_REL_0450</t>
  </si>
  <si>
    <t>NOV_REL_0451</t>
  </si>
  <si>
    <t>NOV_REL_0452</t>
  </si>
  <si>
    <t>NOV_REL_0453</t>
  </si>
  <si>
    <t>NOV_REL_0454</t>
  </si>
  <si>
    <t>NOV_REL_0455</t>
  </si>
  <si>
    <t>NOV_REL_0456</t>
  </si>
  <si>
    <t>NZB52_S6</t>
  </si>
  <si>
    <t>NOV_REL_0457</t>
  </si>
  <si>
    <t>NOV_REL_0458</t>
  </si>
  <si>
    <t>NOV_REL_0459</t>
  </si>
  <si>
    <t>NOV_REL_0460</t>
  </si>
  <si>
    <t>NOV_REL_0461</t>
  </si>
  <si>
    <t>NOV_REL_0462</t>
  </si>
  <si>
    <t>NZB53_S4</t>
  </si>
  <si>
    <t>NOV_REL_0463</t>
  </si>
  <si>
    <t>NOV_REL_0464</t>
  </si>
  <si>
    <t>NOV_REL_0465</t>
  </si>
  <si>
    <t>NOV_REL_0466</t>
  </si>
  <si>
    <t>NOV_REL_0467</t>
  </si>
  <si>
    <t>NOV_REL_0468</t>
  </si>
  <si>
    <t>NOV_REL_0469</t>
  </si>
  <si>
    <t>NZB54_S5</t>
  </si>
  <si>
    <t>NOV_REL_0470</t>
  </si>
  <si>
    <t>NOV_REL_0471</t>
  </si>
  <si>
    <t>NOV_REL_0472</t>
  </si>
  <si>
    <t>NZB55_S2</t>
  </si>
  <si>
    <t>NOV_REL_0473</t>
  </si>
  <si>
    <t>NOV_REL_0474</t>
  </si>
  <si>
    <t>NOV_REL_0475</t>
  </si>
  <si>
    <t>NOV_REL_0476</t>
  </si>
  <si>
    <t>NZW1_S2</t>
  </si>
  <si>
    <t>NOV_REL_0477</t>
  </si>
  <si>
    <t>NOV_REL_0478</t>
  </si>
  <si>
    <t>NOV_REL_0479</t>
  </si>
  <si>
    <t>NOV_REL_0480</t>
  </si>
  <si>
    <t>NZW2_S2</t>
  </si>
  <si>
    <t>NOV_REL_0481</t>
  </si>
  <si>
    <t>NOV_REL_0482</t>
  </si>
  <si>
    <t>NOV_REL_0483</t>
  </si>
  <si>
    <t>NOV_REL_0484</t>
  </si>
  <si>
    <t>NZW3_S2a</t>
  </si>
  <si>
    <t>NOV_REL_0485</t>
  </si>
  <si>
    <t>NOV_REL_0486</t>
  </si>
  <si>
    <t>NZW3_S2b</t>
  </si>
  <si>
    <t>NOV_REL_0487</t>
  </si>
  <si>
    <t>NOV_REL_0488</t>
  </si>
  <si>
    <t>NOV_REL_0489</t>
  </si>
  <si>
    <t>NOV_REL_0490</t>
  </si>
  <si>
    <t>NOV_REL_0491</t>
  </si>
  <si>
    <t>NOV_REL_0492</t>
  </si>
  <si>
    <t>NZW4_S2</t>
  </si>
  <si>
    <t>NOV_REL_0493</t>
  </si>
  <si>
    <t>NOV_REL_0494</t>
  </si>
  <si>
    <t>NOV_REL_0495</t>
  </si>
  <si>
    <t>NOV_REL_0496</t>
  </si>
  <si>
    <t>NZW5_S2</t>
  </si>
  <si>
    <t>NOV_REL_0497</t>
  </si>
  <si>
    <t>NOV_REL_0498</t>
  </si>
  <si>
    <t>NOV_REL_0499</t>
  </si>
  <si>
    <t>NOV_REL_0500</t>
  </si>
  <si>
    <t>NZW6_S2</t>
  </si>
  <si>
    <t>NOV_REL_0501</t>
  </si>
  <si>
    <t>NOV_REL_0502</t>
  </si>
  <si>
    <t>NOV_REL_0503</t>
  </si>
  <si>
    <t>NOV_REL_0504</t>
  </si>
  <si>
    <t>NZW7_S2</t>
  </si>
  <si>
    <t>NOV_REL_0505</t>
  </si>
  <si>
    <t>NOV_REL_0506</t>
  </si>
  <si>
    <t>NOV_REL_0507</t>
  </si>
  <si>
    <t>NOV_REL_0508</t>
  </si>
  <si>
    <t>NZW8_S2</t>
  </si>
  <si>
    <t>NOV_REL_0509</t>
  </si>
  <si>
    <t>NOV_REL_0510</t>
  </si>
  <si>
    <t>NOV_REL_0511</t>
  </si>
  <si>
    <t>NOV_REL_0512</t>
  </si>
  <si>
    <t>NOV_REL_0513</t>
  </si>
  <si>
    <t>NOV_REL_0514</t>
  </si>
  <si>
    <t>NOV_REL_0515</t>
  </si>
  <si>
    <t>NOV_REL_0516</t>
  </si>
  <si>
    <t>NOV_REL_0517</t>
  </si>
  <si>
    <t>NOV_REL_0518</t>
  </si>
  <si>
    <t>NOV_REL_0519</t>
  </si>
  <si>
    <t>NOV_REL_0520</t>
  </si>
  <si>
    <t>NOV_REL_0521</t>
  </si>
  <si>
    <t>NOV_REL_0522</t>
  </si>
  <si>
    <t>NOV_REL_0523</t>
  </si>
  <si>
    <t>NOV_REL_0524</t>
  </si>
  <si>
    <t>NOV_REL_0525</t>
  </si>
  <si>
    <t>NOV_REL_0526</t>
  </si>
  <si>
    <t>NOV_REL_0527</t>
  </si>
  <si>
    <t>SKE_REL_0001</t>
  </si>
  <si>
    <t>SKE_REL_0002</t>
  </si>
  <si>
    <t>SKE_REL_0003</t>
  </si>
  <si>
    <t>SKE_REL_0004</t>
  </si>
  <si>
    <t>SKE_REL_0005</t>
  </si>
  <si>
    <t>SKE_REL_0006</t>
  </si>
  <si>
    <t>SKE_REL_0007</t>
  </si>
  <si>
    <t>SKE_REL_0008</t>
  </si>
  <si>
    <t>SKE_REL_0009</t>
  </si>
  <si>
    <t>SKE_REL_0010</t>
  </si>
  <si>
    <t>SKE_REL_0011</t>
  </si>
  <si>
    <t>SKE_REL_0012</t>
  </si>
  <si>
    <t>SKE_REL_0013</t>
  </si>
  <si>
    <t>SKE_REL_0014</t>
  </si>
  <si>
    <t>SKE_REL_0015</t>
  </si>
  <si>
    <t>SKE_REL_0016</t>
  </si>
  <si>
    <t>SKE_REL_0017</t>
  </si>
  <si>
    <t>SKE_REL_0018</t>
  </si>
  <si>
    <t>SKE_REL_0019</t>
  </si>
  <si>
    <t>SKE_REL_0020</t>
  </si>
  <si>
    <t>SKE_REL_0021</t>
  </si>
  <si>
    <t>SKE_REL_0022</t>
  </si>
  <si>
    <t>SKE_REL_0023</t>
  </si>
  <si>
    <t>SKE_REL_0024</t>
  </si>
  <si>
    <t>SKE_REL_0025</t>
  </si>
  <si>
    <t>SKE_REL_0026</t>
  </si>
  <si>
    <t>SKE_REL_0027</t>
  </si>
  <si>
    <t>SKE_REL_0028</t>
  </si>
  <si>
    <t>SKE_REL_0029</t>
  </si>
  <si>
    <t>SKE_REL_0030</t>
  </si>
  <si>
    <t>SKE_REL_0031</t>
  </si>
  <si>
    <t>SKE_REL_0032</t>
  </si>
  <si>
    <t>SKE_REL_0033</t>
  </si>
  <si>
    <t>SKE_REL_0034</t>
  </si>
  <si>
    <t>SKE_REL_0035</t>
  </si>
  <si>
    <t>SKE_REL_0036</t>
  </si>
  <si>
    <t>SKE_REL_0037</t>
  </si>
  <si>
    <t>SKE_REL_0038</t>
  </si>
  <si>
    <t>SKE_REL_0039</t>
  </si>
  <si>
    <t>SKE_REL_0040</t>
  </si>
  <si>
    <t>SKE_REL_0041</t>
  </si>
  <si>
    <t>SKE_REL_0042</t>
  </si>
  <si>
    <t>SKE_REL_0043</t>
  </si>
  <si>
    <t>SKE_REL_0044</t>
  </si>
  <si>
    <t>SKE_REL_0045</t>
  </si>
  <si>
    <t>SKE_REL_0046</t>
  </si>
  <si>
    <t>SKE_REL_0047</t>
  </si>
  <si>
    <t>SKE_REL_0048</t>
  </si>
  <si>
    <t>SKE_REL_0049</t>
  </si>
  <si>
    <t>SKE_REL_0050</t>
  </si>
  <si>
    <t>SKE_REL_0051</t>
  </si>
  <si>
    <t>SKE_REL_0052</t>
  </si>
  <si>
    <t>SKE_REL_0053</t>
  </si>
  <si>
    <t>SKE_REL_0054</t>
  </si>
  <si>
    <t>SKE_REL_0055</t>
  </si>
  <si>
    <t>SKE_REL_0056</t>
  </si>
  <si>
    <t>SKE_REL_0057</t>
  </si>
  <si>
    <t>SKE_REL_0058</t>
  </si>
  <si>
    <t>SKE_REL_0059</t>
  </si>
  <si>
    <t>SKE_REL_0060</t>
  </si>
  <si>
    <t>SKE_REL_0061</t>
  </si>
  <si>
    <t>SKE_REL_0062</t>
  </si>
  <si>
    <t>SKE_REL_0063</t>
  </si>
  <si>
    <t>SKE_REL_0064</t>
  </si>
  <si>
    <t>SKE_REL_0065</t>
  </si>
  <si>
    <t>SKE_REL_0066</t>
  </si>
  <si>
    <t>SKE_REL_0067</t>
  </si>
  <si>
    <t>SKE_REL_0068</t>
  </si>
  <si>
    <t>SKE_REL_0069</t>
  </si>
  <si>
    <t>SKE_REL_0070</t>
  </si>
  <si>
    <t>SF16_S2</t>
  </si>
  <si>
    <t>SKE_REL_0071</t>
  </si>
  <si>
    <t>SKE_REL_0072</t>
  </si>
  <si>
    <t>SKE_REL_0073</t>
  </si>
  <si>
    <t>SKE_REL_0074</t>
  </si>
  <si>
    <t>SZP1NA_S2</t>
  </si>
  <si>
    <t>SKE_REL_0075</t>
  </si>
  <si>
    <t>SKE_REL_0076</t>
  </si>
  <si>
    <t>SKE_REL_0077</t>
  </si>
  <si>
    <t>SKE_REL_0078</t>
  </si>
  <si>
    <t>SZP2NA_S2</t>
  </si>
  <si>
    <t>SKE_REL_0079</t>
  </si>
  <si>
    <t>SKE_REL_0080</t>
  </si>
  <si>
    <t>SKE_REL_0081</t>
  </si>
  <si>
    <t>SKE_REL_0082</t>
  </si>
  <si>
    <t>SZP3NA_S2</t>
  </si>
  <si>
    <t>SKE_REL_0083</t>
  </si>
  <si>
    <t>SKE_REL_0084</t>
  </si>
  <si>
    <t>SKE_REL_0085</t>
  </si>
  <si>
    <t>SKE_REL_0086</t>
  </si>
  <si>
    <t>SKE_REL_0087</t>
  </si>
  <si>
    <t>SKE_REL_0088</t>
  </si>
  <si>
    <t>SZP4NA_S3</t>
  </si>
  <si>
    <t>SKE_REL_0089</t>
  </si>
  <si>
    <t>SKE_REL_0090</t>
  </si>
  <si>
    <t>SKE_REL_0091</t>
  </si>
  <si>
    <t>SZP4NA_S6</t>
  </si>
  <si>
    <t>SKE_REL_0092</t>
  </si>
  <si>
    <t>SKE_REL_0093</t>
  </si>
  <si>
    <t>SKE_REL_0094</t>
  </si>
  <si>
    <t>SZP5NA_S2</t>
  </si>
  <si>
    <t>SKE_REL_0095</t>
  </si>
  <si>
    <t>SKE_REL_0096</t>
  </si>
  <si>
    <t>SKE_REL_0097</t>
  </si>
  <si>
    <t>SKE_REL_0098</t>
  </si>
  <si>
    <t>SZP6NA_S2</t>
  </si>
  <si>
    <t>SKE_REL_0099</t>
  </si>
  <si>
    <t>SKE_REL_0100</t>
  </si>
  <si>
    <t>SKE_REL_0101</t>
  </si>
  <si>
    <t>SKE_REL_0102</t>
  </si>
  <si>
    <t>SZP7NA_S2</t>
  </si>
  <si>
    <t>SKE_REL_0103</t>
  </si>
  <si>
    <t>SKE_REL_0104</t>
  </si>
  <si>
    <t>SZP8NA_S1</t>
  </si>
  <si>
    <t>SKE_REL_0105</t>
  </si>
  <si>
    <t>SZP9NA_S1</t>
  </si>
  <si>
    <t>SKE_REL_0106</t>
  </si>
  <si>
    <t>SZP10NA_S1</t>
  </si>
  <si>
    <t>SKE_REL_0107</t>
  </si>
  <si>
    <t>SZP11NA_S1</t>
  </si>
  <si>
    <t>SKE_REL_0108</t>
  </si>
  <si>
    <t>SKE_REL_0109</t>
  </si>
  <si>
    <t>SKE_REL_0110</t>
  </si>
  <si>
    <t>SZP12NA_S2a</t>
  </si>
  <si>
    <t>SKE_REL_0111</t>
  </si>
  <si>
    <t>SKE_REL_0112</t>
  </si>
  <si>
    <t>SZP12NA_S2b</t>
  </si>
  <si>
    <t>SKE_REL_0113</t>
  </si>
  <si>
    <t>SKE_REL_0114</t>
  </si>
  <si>
    <t>SZP12NA_S3</t>
  </si>
  <si>
    <t>SKE_REL_0115</t>
  </si>
  <si>
    <t>SZP13_S1</t>
  </si>
  <si>
    <t>SKE_REL_0116</t>
  </si>
  <si>
    <t>SKE_REL_0117</t>
  </si>
  <si>
    <t>SZP13_S2</t>
  </si>
  <si>
    <t>SKE_REL_0118</t>
  </si>
  <si>
    <t>SKE_REL_0119</t>
  </si>
  <si>
    <t>SKE_REL_0120</t>
  </si>
  <si>
    <t>SKE_REL_0121</t>
  </si>
  <si>
    <t>SZP14_S2</t>
  </si>
  <si>
    <t>SKE_REL_0122</t>
  </si>
  <si>
    <t>SKE_REL_0123</t>
  </si>
  <si>
    <t>SKE_REL_0124</t>
  </si>
  <si>
    <t>SKE_REL_0125</t>
  </si>
  <si>
    <t>SKE_REL_0126</t>
  </si>
  <si>
    <t>SZP15_S2a</t>
  </si>
  <si>
    <t>SKE_REL_0127</t>
  </si>
  <si>
    <t>SKE_REL_0128</t>
  </si>
  <si>
    <t>SKE_REL_0129</t>
  </si>
  <si>
    <t>SZP15_S2b</t>
  </si>
  <si>
    <t>SKE_REL_0130</t>
  </si>
  <si>
    <t>SKE_REL_0131</t>
  </si>
  <si>
    <t>SKE_REL_0132</t>
  </si>
  <si>
    <t>SZP15_S3</t>
  </si>
  <si>
    <t>SKE_REL_0133</t>
  </si>
  <si>
    <t>SKE_REL_0134</t>
  </si>
  <si>
    <t>SKE_REL_0135</t>
  </si>
  <si>
    <t>SKE_REL_0136</t>
  </si>
  <si>
    <t>SKE_REL_0137</t>
  </si>
  <si>
    <t>SKE_REL_0138</t>
  </si>
  <si>
    <t>SKE_REL_0139</t>
  </si>
  <si>
    <t>SZP16_S3</t>
  </si>
  <si>
    <t>SKE_REL_0140</t>
  </si>
  <si>
    <t>SKE_REL_0141</t>
  </si>
  <si>
    <t>SKE_REL_0142</t>
  </si>
  <si>
    <t>SZP17_S2</t>
  </si>
  <si>
    <t>SKE_REL_0143</t>
  </si>
  <si>
    <t>SKE_REL_0144</t>
  </si>
  <si>
    <t>SKE_REL_0145</t>
  </si>
  <si>
    <t>SKE_REL_0146</t>
  </si>
  <si>
    <t>SZP18_S2</t>
  </si>
  <si>
    <t>SKE_REL_0147</t>
  </si>
  <si>
    <t>SKE_REL_0148</t>
  </si>
  <si>
    <t>SKE_REL_0149</t>
  </si>
  <si>
    <t>SKE_REL_0150</t>
  </si>
  <si>
    <t>SKE_REL_0151</t>
  </si>
  <si>
    <t>SKE_REL_0152</t>
  </si>
  <si>
    <t>SKE_REL_0153</t>
  </si>
  <si>
    <t>SKE_REL_0154</t>
  </si>
  <si>
    <t>SKE_REL_0155</t>
  </si>
  <si>
    <t>SKE_REL_0156</t>
  </si>
  <si>
    <t>SKE_REL_0157</t>
  </si>
  <si>
    <t>SKE_REL_0158</t>
  </si>
  <si>
    <t>SKE_REL_0159</t>
  </si>
  <si>
    <t>SKE_REL_0160</t>
  </si>
  <si>
    <t>SKE_REL_0161</t>
  </si>
  <si>
    <t>SKE_REL_0162</t>
  </si>
  <si>
    <t>SKE_REL_0163</t>
  </si>
  <si>
    <t>SKE_REL_0164</t>
  </si>
  <si>
    <t>SKE_REL_0165</t>
  </si>
  <si>
    <t>SKE_REL_0166</t>
  </si>
  <si>
    <t>SKE_REL_0167</t>
  </si>
  <si>
    <t>SZP20_S4</t>
  </si>
  <si>
    <t>SKE_REL_0168</t>
  </si>
  <si>
    <t>SKE_REL_0169</t>
  </si>
  <si>
    <t>SKE_REL_0170</t>
  </si>
  <si>
    <t>SZP21_S2a</t>
  </si>
  <si>
    <t>SKE_REL_0171</t>
  </si>
  <si>
    <t>SKE_REL_0172</t>
  </si>
  <si>
    <t>SZP21_S2b</t>
  </si>
  <si>
    <t>SKE_REL_0173</t>
  </si>
  <si>
    <t>SKE_REL_0174</t>
  </si>
  <si>
    <t>SKE_REL_0175</t>
  </si>
  <si>
    <t>SKE_REL_0176</t>
  </si>
  <si>
    <t>SKE_REL_0177</t>
  </si>
  <si>
    <t>SZP22_S2a</t>
  </si>
  <si>
    <t>SKE_REL_0178</t>
  </si>
  <si>
    <t>SKE_REL_0179</t>
  </si>
  <si>
    <t>SKE_REL_0180</t>
  </si>
  <si>
    <t>SZP22_S2b</t>
  </si>
  <si>
    <t>SKE_REL_0181</t>
  </si>
  <si>
    <t>SKE_REL_0182</t>
  </si>
  <si>
    <t>SKE_REL_0183</t>
  </si>
  <si>
    <t>SZP22_S3</t>
  </si>
  <si>
    <t>SKE_REL_0184</t>
  </si>
  <si>
    <t>SKE_REL_0185</t>
  </si>
  <si>
    <t>SKE_REL_0186</t>
  </si>
  <si>
    <t>SKE_REL_0187</t>
  </si>
  <si>
    <t>SKE_REL_0188</t>
  </si>
  <si>
    <t>SZP23_S2</t>
  </si>
  <si>
    <t>SKE_REL_0189</t>
  </si>
  <si>
    <t>SKE_REL_0190</t>
  </si>
  <si>
    <t>SKE_REL_0191</t>
  </si>
  <si>
    <t>SKE_REL_0192</t>
  </si>
  <si>
    <t>SZP24_S2</t>
  </si>
  <si>
    <t>SKE_REL_0193</t>
  </si>
  <si>
    <t>SKE_REL_0194</t>
  </si>
  <si>
    <t>SKE_REL_0195</t>
  </si>
  <si>
    <t>SKE_REL_0196</t>
  </si>
  <si>
    <t>SZP25_S2</t>
  </si>
  <si>
    <t>SKE_REL_0197</t>
  </si>
  <si>
    <t>SKE_REL_0198</t>
  </si>
  <si>
    <t>SKE_REL_0199</t>
  </si>
  <si>
    <t>SKE_REL_0200</t>
  </si>
  <si>
    <t>SZP26_S2</t>
  </si>
  <si>
    <t>SKE_REL_0201</t>
  </si>
  <si>
    <t>SKE_REL_0202</t>
  </si>
  <si>
    <t>SKE_REL_0203</t>
  </si>
  <si>
    <t>SKE_REL_0204</t>
  </si>
  <si>
    <t>SZP27_S2</t>
  </si>
  <si>
    <t>SKE_REL_0205</t>
  </si>
  <si>
    <t>SKE_REL_0206</t>
  </si>
  <si>
    <t>SKE_REL_0207</t>
  </si>
  <si>
    <t>SKE_REL_0208</t>
  </si>
  <si>
    <t>SKE_REL_0209</t>
  </si>
  <si>
    <t>SKE_REL_0210</t>
  </si>
  <si>
    <t>SKE_REL_0211</t>
  </si>
  <si>
    <t>SKE_REL_0212</t>
  </si>
  <si>
    <t>SZP28_S3</t>
  </si>
  <si>
    <t>SKE_REL_0213</t>
  </si>
  <si>
    <t>SKE_REL_0214</t>
  </si>
  <si>
    <t>SKE_REL_0215</t>
  </si>
  <si>
    <t>SKE_REL_0216</t>
  </si>
  <si>
    <t>SKE_REL_0217</t>
  </si>
  <si>
    <t>SKE_REL_0218</t>
  </si>
  <si>
    <t>SZP29_S3a</t>
  </si>
  <si>
    <t>SKE_REL_0219</t>
  </si>
  <si>
    <t>SKE_REL_0220</t>
  </si>
  <si>
    <t>SKE_REL_0221</t>
  </si>
  <si>
    <t>SKE_REL_0222</t>
  </si>
  <si>
    <t>SKE_REL_0223</t>
  </si>
  <si>
    <t>SZP29_S5b</t>
  </si>
  <si>
    <t>SKE_REL_0224</t>
  </si>
  <si>
    <t>SKE_REL_0225</t>
  </si>
  <si>
    <t>SKE_REL_0226</t>
  </si>
  <si>
    <t>SKE_REL_0227</t>
  </si>
  <si>
    <t>SZP29_S4c</t>
  </si>
  <si>
    <t>SKE_REL_0228</t>
  </si>
  <si>
    <t>SKE_REL_0229</t>
  </si>
  <si>
    <t>SKE_REL_0230</t>
  </si>
  <si>
    <t>SKE_REL_0231</t>
  </si>
  <si>
    <t>SKE_REL_0232</t>
  </si>
  <si>
    <t>SZP30_S3</t>
  </si>
  <si>
    <t>SKE_REL_0233</t>
  </si>
  <si>
    <t>SKE_REL_0234</t>
  </si>
  <si>
    <t>SKE_REL_0235</t>
  </si>
  <si>
    <t>SKE_REL_0236</t>
  </si>
  <si>
    <t>SKE_REL_0237</t>
  </si>
  <si>
    <t>SKE_REL_0238</t>
  </si>
  <si>
    <t>SKE_REL_0239</t>
  </si>
  <si>
    <t>SZP31_S3o</t>
  </si>
  <si>
    <t>SKE_REL_0240</t>
  </si>
  <si>
    <t>SKE_REL_0241</t>
  </si>
  <si>
    <t>SZP31_S4o</t>
  </si>
  <si>
    <t>SKE_REL_0242</t>
  </si>
  <si>
    <t>SKE_REL_0243</t>
  </si>
  <si>
    <t>SZP31_S5o</t>
  </si>
  <si>
    <t>SKE_REL_0244</t>
  </si>
  <si>
    <t>SKE_REL_0245</t>
  </si>
  <si>
    <t>SKE_REL_0246</t>
  </si>
  <si>
    <t>SKE_REL_0247</t>
  </si>
  <si>
    <t>SKE_REL_0248</t>
  </si>
  <si>
    <t>SKE_REL_0249</t>
  </si>
  <si>
    <t>SZP31_S8</t>
  </si>
  <si>
    <t>SKE_REL_0250</t>
  </si>
  <si>
    <t>SKE_REL_0251</t>
  </si>
  <si>
    <t>SKE_REL_0252</t>
  </si>
  <si>
    <t>SKE_REL_0253</t>
  </si>
  <si>
    <t>SKE_REL_0254</t>
  </si>
  <si>
    <t>SKE_REL_0255</t>
  </si>
  <si>
    <t>SKE_REL_0256</t>
  </si>
  <si>
    <t>SKE_REL_0257</t>
  </si>
  <si>
    <t>SKE_REL_0258</t>
  </si>
  <si>
    <t>SKE_REL_0259</t>
  </si>
  <si>
    <t>SKE_REL_0260</t>
  </si>
  <si>
    <t>SKE_REL_0261</t>
  </si>
  <si>
    <t>SZP32_S5</t>
  </si>
  <si>
    <t>SKE_REL_0262</t>
  </si>
  <si>
    <t>SKE_REL_0263</t>
  </si>
  <si>
    <t>SKE_REL_0264</t>
  </si>
  <si>
    <t>SKE_REL_0265</t>
  </si>
  <si>
    <t>SKE_REL_0266</t>
  </si>
  <si>
    <t>SZP33_S2</t>
  </si>
  <si>
    <t>SKE_REL_0267</t>
  </si>
  <si>
    <t>SKE_REL_0268</t>
  </si>
  <si>
    <t>SKE_REL_0269</t>
  </si>
  <si>
    <t>SKE_REL_0270</t>
  </si>
  <si>
    <t>SKE_REL_0271</t>
  </si>
  <si>
    <t>SKE_REL_0272</t>
  </si>
  <si>
    <t>SKE_REL_0273</t>
  </si>
  <si>
    <t>SKE_REL_0274</t>
  </si>
  <si>
    <t>SKE_REL_0275</t>
  </si>
  <si>
    <t>SKE_REL_0276</t>
  </si>
  <si>
    <t>SKE_REL_0277</t>
  </si>
  <si>
    <t>SKE_REL_0278</t>
  </si>
  <si>
    <t>SKE_REL_0279</t>
  </si>
  <si>
    <t>SKE_REL_0280</t>
  </si>
  <si>
    <t>SKE_REL_0281</t>
  </si>
  <si>
    <t>SKE_REL_0282</t>
  </si>
  <si>
    <t>SKE_REL_0283</t>
  </si>
  <si>
    <t>SKE_REL_0284</t>
  </si>
  <si>
    <t>SKE_REL_0285</t>
  </si>
  <si>
    <t>SKE_REL_0286</t>
  </si>
  <si>
    <t>SZP35_S2</t>
  </si>
  <si>
    <t>SKE_REL_0287</t>
  </si>
  <si>
    <t>SKE_REL_0288</t>
  </si>
  <si>
    <t>SKE_REL_0289</t>
  </si>
  <si>
    <t>SKE_REL_0290</t>
  </si>
  <si>
    <t>SKE_REL_0291</t>
  </si>
  <si>
    <t>SZP36_S2</t>
  </si>
  <si>
    <t>SKE_REL_0292</t>
  </si>
  <si>
    <t>SKE_REL_0293</t>
  </si>
  <si>
    <t>SKE_REL_0294</t>
  </si>
  <si>
    <t>SKE_REL_0295</t>
  </si>
  <si>
    <t>SKE_REL_0296</t>
  </si>
  <si>
    <t>SZP37_S2</t>
  </si>
  <si>
    <t>SKE_REL_0297</t>
  </si>
  <si>
    <t>SKE_REL_0298</t>
  </si>
  <si>
    <t>SKE_REL_0299</t>
  </si>
  <si>
    <t>SKE_REL_0300</t>
  </si>
  <si>
    <t>SKE_REL_0301</t>
  </si>
  <si>
    <t>SKE_REL_0302</t>
  </si>
  <si>
    <t>SKE_REL_0303</t>
  </si>
  <si>
    <t>SKE_REL_0304</t>
  </si>
  <si>
    <t>SKE_REL_0305</t>
  </si>
  <si>
    <t>SKE_REL_0306</t>
  </si>
  <si>
    <t>SKE_REL_0307</t>
  </si>
  <si>
    <t>SZP39_S2</t>
  </si>
  <si>
    <t>SKE_REL_0308</t>
  </si>
  <si>
    <t>SKE_REL_0309</t>
  </si>
  <si>
    <t>SKE_REL_0310</t>
  </si>
  <si>
    <t>SKE_REL_0311</t>
  </si>
  <si>
    <t>SZP40_S2</t>
  </si>
  <si>
    <t>SKE_REL_0312</t>
  </si>
  <si>
    <t>SKE_REL_0313</t>
  </si>
  <si>
    <t>SKE_REL_0314</t>
  </si>
  <si>
    <t>SKE_REL_0315</t>
  </si>
  <si>
    <t>SZP41_S2</t>
  </si>
  <si>
    <t>SKE_REL_0316</t>
  </si>
  <si>
    <t>SKE_REL_0317</t>
  </si>
  <si>
    <t>SKE_REL_0318</t>
  </si>
  <si>
    <t>SKE_REL_0319</t>
  </si>
  <si>
    <t>SKE_REL_0320</t>
  </si>
  <si>
    <t>SKE_REL_0321</t>
  </si>
  <si>
    <t>SZP42_S3</t>
  </si>
  <si>
    <t>SKE_REL_0322</t>
  </si>
  <si>
    <t>SKE_REL_0323</t>
  </si>
  <si>
    <t>SKE_REL_0324</t>
  </si>
  <si>
    <t>SZP43_S2</t>
  </si>
  <si>
    <t>SKE_REL_0325</t>
  </si>
  <si>
    <t>SKE_REL_0326</t>
  </si>
  <si>
    <t>SKE_REL_0327</t>
  </si>
  <si>
    <t>SKE_REL_0328</t>
  </si>
  <si>
    <t>SZP44_S2</t>
  </si>
  <si>
    <t>SKE_REL_0329</t>
  </si>
  <si>
    <t>SKE_REL_0330</t>
  </si>
  <si>
    <t>SKE_REL_0331</t>
  </si>
  <si>
    <t>SKE_REL_0332</t>
  </si>
  <si>
    <t>SKE_REL_0333</t>
  </si>
  <si>
    <t>SKE_REL_0334</t>
  </si>
  <si>
    <t>SKE_REL_0335</t>
  </si>
  <si>
    <t>SKE_REL_0336</t>
  </si>
  <si>
    <t>SKE_REL_0337</t>
  </si>
  <si>
    <t>SKE_REL_0338</t>
  </si>
  <si>
    <t>SKE_REL_0339</t>
  </si>
  <si>
    <t>SKE_REL_0340</t>
  </si>
  <si>
    <t>SKE_REL_0341</t>
  </si>
  <si>
    <t>SKE_REL_0342</t>
  </si>
  <si>
    <t>SKE_REL_0343</t>
  </si>
  <si>
    <t>SZW1_S2</t>
  </si>
  <si>
    <t>SKE_REL_0344</t>
  </si>
  <si>
    <t>SKE_REL_0345</t>
  </si>
  <si>
    <t>SKE_REL_0346</t>
  </si>
  <si>
    <t>SKE_REL_0347</t>
  </si>
  <si>
    <t>SKE_REL_0348</t>
  </si>
  <si>
    <t>SKE_REL_0349</t>
  </si>
  <si>
    <t>SKE_REL_0350</t>
  </si>
  <si>
    <t>SKE_REL_0351</t>
  </si>
  <si>
    <t>SZW3_S2</t>
  </si>
  <si>
    <t>SKE_REL_0352</t>
  </si>
  <si>
    <t>SKE_REL_0353</t>
  </si>
  <si>
    <t>SKE_REL_0354</t>
  </si>
  <si>
    <t>SKE_REL_0355</t>
  </si>
  <si>
    <t>SZW4_S2</t>
  </si>
  <si>
    <t>SKE_REL_0356</t>
  </si>
  <si>
    <t>SKE_REL_0357</t>
  </si>
  <si>
    <t>SKE_REL_0358</t>
  </si>
  <si>
    <t>SKE_REL_0359</t>
  </si>
  <si>
    <t>SZW5_S2</t>
  </si>
  <si>
    <t>SKE_REL_0360</t>
  </si>
  <si>
    <t>SKE_REL_0361</t>
  </si>
  <si>
    <t>SKE_REL_0362</t>
  </si>
  <si>
    <t>SKE_REL_0363</t>
  </si>
  <si>
    <t>SZW6_S2a</t>
  </si>
  <si>
    <t>SKE_REL_0364</t>
  </si>
  <si>
    <t>SKE_REL_0365</t>
  </si>
  <si>
    <t>SZW6_S2b</t>
  </si>
  <si>
    <t>SKE_REL_0366</t>
  </si>
  <si>
    <t>SKE_REL_0367</t>
  </si>
  <si>
    <t>SKE_REL_0368</t>
  </si>
  <si>
    <t>SKE_REL_0369</t>
  </si>
  <si>
    <t>SZW7_S2</t>
  </si>
  <si>
    <t>SKE_REL_0370</t>
  </si>
  <si>
    <t>SKE_REL_0371</t>
  </si>
  <si>
    <t>SKE_REL_0372</t>
  </si>
  <si>
    <t>SKE_REL_0373</t>
  </si>
  <si>
    <t>SZW8_S2a</t>
  </si>
  <si>
    <t>SKE_REL_0374</t>
  </si>
  <si>
    <t>SKE_REL_0375</t>
  </si>
  <si>
    <t>SZW8_S2b</t>
  </si>
  <si>
    <t>SKE_REL_0376</t>
  </si>
  <si>
    <t>SKE_REL_0377</t>
  </si>
  <si>
    <t>SKE_REL_0378</t>
  </si>
  <si>
    <t>SKE_REL_0379</t>
  </si>
  <si>
    <t>SZW9_S2</t>
  </si>
  <si>
    <t>SKE_REL_0380</t>
  </si>
  <si>
    <t>SKE_REL_0381</t>
  </si>
  <si>
    <t>SKE_REL_0382</t>
  </si>
  <si>
    <t>SKE_REL_0383</t>
  </si>
  <si>
    <t>SKE_REL_0384</t>
  </si>
  <si>
    <t>SKE_REL_0385</t>
  </si>
  <si>
    <t>SKE_REL_0386</t>
  </si>
  <si>
    <t>SKE_REL_0387</t>
  </si>
  <si>
    <t>SKE_REL_0388</t>
  </si>
  <si>
    <t>SKE_REL_0389</t>
  </si>
  <si>
    <t>KM_REL_0001</t>
  </si>
  <si>
    <t>KM_REL_0002</t>
  </si>
  <si>
    <t>KM_REL_0003</t>
  </si>
  <si>
    <t>KM_REL_0004</t>
  </si>
  <si>
    <t>KM_REL_0005</t>
  </si>
  <si>
    <t>KM_REL_0006</t>
  </si>
  <si>
    <t>KM_REL_0007</t>
  </si>
  <si>
    <t>KM_REL_0008</t>
  </si>
  <si>
    <t>KM_REL_0009</t>
  </si>
  <si>
    <t>KM_REL_0010</t>
  </si>
  <si>
    <t>KM_REL_0011</t>
  </si>
  <si>
    <t>KMF3_S2a</t>
  </si>
  <si>
    <t>KM_REL_0012</t>
  </si>
  <si>
    <t>KM_REL_0013</t>
  </si>
  <si>
    <t>KMF3_S2b</t>
  </si>
  <si>
    <t>KM_REL_0014</t>
  </si>
  <si>
    <t>KM_REL_0015</t>
  </si>
  <si>
    <t>KM_REL_0016</t>
  </si>
  <si>
    <t>KM_REL_0017</t>
  </si>
  <si>
    <t>KM_REL_0018</t>
  </si>
  <si>
    <t>KM_REL_0019</t>
  </si>
  <si>
    <t>KM_REL_0020</t>
  </si>
  <si>
    <t>KM_REL_0021</t>
  </si>
  <si>
    <t>KM_REL_0022</t>
  </si>
  <si>
    <t>KM_REL_0023</t>
  </si>
  <si>
    <t>KM_REL_0024</t>
  </si>
  <si>
    <t>KM_REL_0025</t>
  </si>
  <si>
    <t>KM_REL_0026</t>
  </si>
  <si>
    <t>KM_REL_0027</t>
  </si>
  <si>
    <t>KM_REL_0028</t>
  </si>
  <si>
    <t>KM_REL_0029</t>
  </si>
  <si>
    <t>KM_REL_0030</t>
  </si>
  <si>
    <t>KM_REL_0031</t>
  </si>
  <si>
    <t>KM_REL_0032</t>
  </si>
  <si>
    <t>KM_REL_0033</t>
  </si>
  <si>
    <t>KM_REL_0034</t>
  </si>
  <si>
    <t>KM_REL_0035</t>
  </si>
  <si>
    <t>KM_REL_0036</t>
  </si>
  <si>
    <t>KM_REL_0037</t>
  </si>
  <si>
    <t>KM_REL_0038</t>
  </si>
  <si>
    <t>KM_REL_0039</t>
  </si>
  <si>
    <t>KM_REL_0040</t>
  </si>
  <si>
    <t>KM_REL_0041</t>
  </si>
  <si>
    <t>KM_REL_0042</t>
  </si>
  <si>
    <t>KM_REL_0043</t>
  </si>
  <si>
    <t>KM_REL_0044</t>
  </si>
  <si>
    <t>KM_REL_0045</t>
  </si>
  <si>
    <t>KM_REL_0046</t>
  </si>
  <si>
    <t>KM_REL_0047</t>
  </si>
  <si>
    <t>KMZP1NA_S2</t>
  </si>
  <si>
    <t>KM_REL_0048</t>
  </si>
  <si>
    <t>KM_REL_0049</t>
  </si>
  <si>
    <t>KM_REL_0050</t>
  </si>
  <si>
    <t>KM_REL_0051</t>
  </si>
  <si>
    <t>KMZP2_S2</t>
  </si>
  <si>
    <t>KM_REL_0052</t>
  </si>
  <si>
    <t>KM_REL_0053</t>
  </si>
  <si>
    <t>KM_REL_0054</t>
  </si>
  <si>
    <t>KM_REL_0055</t>
  </si>
  <si>
    <t>KMZP3_S2</t>
  </si>
  <si>
    <t>KM_REL_0056</t>
  </si>
  <si>
    <t>KM_REL_0057</t>
  </si>
  <si>
    <t>KM_REL_0058</t>
  </si>
  <si>
    <t>KM_REL_0059</t>
  </si>
  <si>
    <t>KMZP4_S2</t>
  </si>
  <si>
    <t>KM_REL_0060</t>
  </si>
  <si>
    <t>KM_REL_0061</t>
  </si>
  <si>
    <t>KM_REL_0062</t>
  </si>
  <si>
    <t>KM_REL_0063</t>
  </si>
  <si>
    <t>KM_REL_0064</t>
  </si>
  <si>
    <t>KMZP5_S2</t>
  </si>
  <si>
    <t>KM_REL_0065</t>
  </si>
  <si>
    <t>KM_REL_0066</t>
  </si>
  <si>
    <t>KM_REL_0067</t>
  </si>
  <si>
    <t>KM_REL_0068</t>
  </si>
  <si>
    <t>KM_REL_0069</t>
  </si>
  <si>
    <t>KMZP6_S2</t>
  </si>
  <si>
    <t>KM_REL_0070</t>
  </si>
  <si>
    <t>KM_REL_0071</t>
  </si>
  <si>
    <t>TOU_REL_0001</t>
  </si>
  <si>
    <t>TOU_REL_0002</t>
  </si>
  <si>
    <t>TOU_REL_0003</t>
  </si>
  <si>
    <t>TOU_REL_0004</t>
  </si>
  <si>
    <t>TOU_REL_0005</t>
  </si>
  <si>
    <t>KIWF2_S1</t>
  </si>
  <si>
    <t>TOU_REL_0006</t>
  </si>
  <si>
    <t>TOU_REL_0007</t>
  </si>
  <si>
    <t>TOU_REL_0008</t>
  </si>
  <si>
    <t>TOU_REL_0009</t>
  </si>
  <si>
    <t>KIWF2_S3o</t>
  </si>
  <si>
    <t>TOU_REL_0010</t>
  </si>
  <si>
    <t>TOU_REL_0011</t>
  </si>
  <si>
    <t>TOU_REL_0012</t>
  </si>
  <si>
    <t>TOU_REL_0013</t>
  </si>
  <si>
    <t>TOU_REL_0014</t>
  </si>
  <si>
    <t>TOU_REL_0015</t>
  </si>
  <si>
    <t>TOU_REL_0016</t>
  </si>
  <si>
    <t>TOU_REL_0017</t>
  </si>
  <si>
    <t>TOU_REL_0018</t>
  </si>
  <si>
    <t>KIWF3_S1</t>
  </si>
  <si>
    <t>TOU_REL_0019</t>
  </si>
  <si>
    <t>TOU_REL_0020</t>
  </si>
  <si>
    <t>TOU_REL_0021</t>
  </si>
  <si>
    <t>TOU_REL_0022</t>
  </si>
  <si>
    <t>TOU_REL_0023</t>
  </si>
  <si>
    <t>TOU_REL_0024</t>
  </si>
  <si>
    <t>KIWF4_S2o</t>
  </si>
  <si>
    <t>TOU_REL_0025</t>
  </si>
  <si>
    <t>TOU_REL_0026</t>
  </si>
  <si>
    <t>TOU_REL_0027</t>
  </si>
  <si>
    <t>TOU_REL_0028</t>
  </si>
  <si>
    <t>TOU_REL_0029</t>
  </si>
  <si>
    <t>TOU_REL_0030</t>
  </si>
  <si>
    <t>KIWF4_S7a</t>
  </si>
  <si>
    <t>TOU_REL_0031</t>
  </si>
  <si>
    <t>KIWF4_S7b</t>
  </si>
  <si>
    <t>TOU_REL_0032</t>
  </si>
  <si>
    <t>TOU_REL_0033</t>
  </si>
  <si>
    <t>TOU_REL_0034</t>
  </si>
  <si>
    <t>TOU_REL_0035</t>
  </si>
  <si>
    <t>KIWF5_S1</t>
  </si>
  <si>
    <t>TOU_REL_0036</t>
  </si>
  <si>
    <t>TOU_REL_0037</t>
  </si>
  <si>
    <t>TOU_REL_0038</t>
  </si>
  <si>
    <t>TOU_REL_0039</t>
  </si>
  <si>
    <t>KIWF5_S3a</t>
  </si>
  <si>
    <t>TOU_REL_0040</t>
  </si>
  <si>
    <t>KIWF5_S3b</t>
  </si>
  <si>
    <t>TOU_REL_0041</t>
  </si>
  <si>
    <t>TOU_REL_0042</t>
  </si>
  <si>
    <t>TOU_REL_0043</t>
  </si>
  <si>
    <t>TOU_REL_0044</t>
  </si>
  <si>
    <t>KIWF6_S1</t>
  </si>
  <si>
    <t>TOU_REL_0045</t>
  </si>
  <si>
    <t>TOU_REL_0046</t>
  </si>
  <si>
    <t>TOU_REL_0047</t>
  </si>
  <si>
    <t>TOU_REL_0048</t>
  </si>
  <si>
    <t>TOU_REL_0049</t>
  </si>
  <si>
    <t>TOU_REL_0050</t>
  </si>
  <si>
    <t>TOU_REL_0051</t>
  </si>
  <si>
    <t>TOU_REL_0052</t>
  </si>
  <si>
    <t>TOU_REL_0053</t>
  </si>
  <si>
    <t>TOU_REL_0054</t>
  </si>
  <si>
    <t>KIWF8_S1</t>
  </si>
  <si>
    <t>TOU_REL_0055</t>
  </si>
  <si>
    <t>TOU_REL_0056</t>
  </si>
  <si>
    <t>TOU_REL_0057</t>
  </si>
  <si>
    <t>TOU_REL_0058</t>
  </si>
  <si>
    <t>TOU_REL_0059</t>
  </si>
  <si>
    <t>TOU_REL_0060</t>
  </si>
  <si>
    <t>TOU_REL_0061</t>
  </si>
  <si>
    <t>TOU_REL_0062</t>
  </si>
  <si>
    <t>TOU_REL_0063</t>
  </si>
  <si>
    <t>TOU_REL_0064</t>
  </si>
  <si>
    <t>TOU_REL_0065</t>
  </si>
  <si>
    <t>TOU_REL_0066</t>
  </si>
  <si>
    <t>TOU_REL_0067</t>
  </si>
  <si>
    <t>TOU_REL_0068</t>
  </si>
  <si>
    <t>TOU_REL_0069</t>
  </si>
  <si>
    <t>TOU_REL_0070</t>
  </si>
  <si>
    <t>TOU_REL_0071</t>
  </si>
  <si>
    <t>TOU_REL_0072</t>
  </si>
  <si>
    <t>TOU_REL_0073</t>
  </si>
  <si>
    <t>TOU_REL_0074</t>
  </si>
  <si>
    <t>TOU_REL_0075</t>
  </si>
  <si>
    <t>TOU_REL_0076</t>
  </si>
  <si>
    <t>TOU_REL_0077</t>
  </si>
  <si>
    <t>TOU_REL_0078</t>
  </si>
  <si>
    <t>TOU_REL_0079</t>
  </si>
  <si>
    <t>TOU_REL_0080</t>
  </si>
  <si>
    <t>TOU_REL_0081</t>
  </si>
  <si>
    <t>TOU_REL_0082</t>
  </si>
  <si>
    <t>TOU_REL_0083</t>
  </si>
  <si>
    <t>TOU_REL_0084</t>
  </si>
  <si>
    <t>TOU_REL_0085</t>
  </si>
  <si>
    <t>TOU_REL_0086</t>
  </si>
  <si>
    <t>TOU_REL_0087</t>
  </si>
  <si>
    <t>TOU_REL_0088</t>
  </si>
  <si>
    <t>TOU_REL_0089</t>
  </si>
  <si>
    <t>TOU_REL_0090</t>
  </si>
  <si>
    <t>TOU_REL_0091</t>
  </si>
  <si>
    <t>TOU_REL_0092</t>
  </si>
  <si>
    <t>TOU_REL_0093</t>
  </si>
  <si>
    <t>TOU_REL_0094</t>
  </si>
  <si>
    <t>TOU_REL_0095</t>
  </si>
  <si>
    <t>TOU_REL_0096</t>
  </si>
  <si>
    <t>TOU_REL_0097</t>
  </si>
  <si>
    <t>TOU_REL_0098</t>
  </si>
  <si>
    <t>TOU_REL_0099</t>
  </si>
  <si>
    <t>TOU_REL_0100</t>
  </si>
  <si>
    <t>TOU_REL_0101</t>
  </si>
  <si>
    <t>TOU_REL_0102</t>
  </si>
  <si>
    <t>TOU_REL_0103</t>
  </si>
  <si>
    <t>TOU_REL_0104</t>
  </si>
  <si>
    <t>TOU_REL_0105</t>
  </si>
  <si>
    <t>TOU_REL_0106</t>
  </si>
  <si>
    <t>KIWF14_S2o</t>
  </si>
  <si>
    <t>TOU_REL_0107</t>
  </si>
  <si>
    <t>TOU_REL_0108</t>
  </si>
  <si>
    <t>TOU_REL_0109</t>
  </si>
  <si>
    <t>TOU_REL_0110</t>
  </si>
  <si>
    <t>TOU_REL_0111</t>
  </si>
  <si>
    <t>TOU_REL_0112</t>
  </si>
  <si>
    <t>TOU_REL_0113</t>
  </si>
  <si>
    <t>TOU_REL_0114</t>
  </si>
  <si>
    <t>TOU_REL_0115</t>
  </si>
  <si>
    <t>TOU_REL_0116</t>
  </si>
  <si>
    <t>TOU_REL_0117</t>
  </si>
  <si>
    <t>TOU_REL_0118</t>
  </si>
  <si>
    <t>TOU_REL_0119</t>
  </si>
  <si>
    <t>TOU_REL_0120</t>
  </si>
  <si>
    <t>KIWF16_S2</t>
  </si>
  <si>
    <t>TOU_REL_0121</t>
  </si>
  <si>
    <t>TOU_REL_0122</t>
  </si>
  <si>
    <t>TOU_REL_0123</t>
  </si>
  <si>
    <t>KIWZP1_S2</t>
  </si>
  <si>
    <t>TOU_REL_0124</t>
  </si>
  <si>
    <t>TOU_REL_0125</t>
  </si>
  <si>
    <t>TOU_REL_0126</t>
  </si>
  <si>
    <t>KIWZP2NA_S2</t>
  </si>
  <si>
    <t>TOU_REL_0127</t>
  </si>
  <si>
    <t>TOU_REL_0128</t>
  </si>
  <si>
    <t>TOU_REL_0129</t>
  </si>
  <si>
    <t>KIWZP8_S2</t>
  </si>
  <si>
    <t>TOU_REL_0130</t>
  </si>
  <si>
    <t>TOU_REL_0131</t>
  </si>
  <si>
    <t>TOU_REL_0132</t>
  </si>
  <si>
    <t>TOU_REL_0133</t>
  </si>
  <si>
    <t>TOU_REL_0134</t>
  </si>
  <si>
    <t>TOU_REL_0135</t>
  </si>
  <si>
    <t>TOU_REL_0136</t>
  </si>
  <si>
    <t>TOU_REL_0137</t>
  </si>
  <si>
    <t>TOU_REL_0138</t>
  </si>
  <si>
    <t>TOU_REL_0139</t>
  </si>
  <si>
    <t>KIWZP9_S7</t>
  </si>
  <si>
    <t>TOU_REL_0140</t>
  </si>
  <si>
    <t>TOU_REL_0141</t>
  </si>
  <si>
    <t>TOU_REL_0142</t>
  </si>
  <si>
    <t>TOU_REL_0143</t>
  </si>
  <si>
    <t>TOU_REL_0144</t>
  </si>
  <si>
    <t>TOU_REL_0145</t>
  </si>
  <si>
    <t>TOU_REL_0146</t>
  </si>
  <si>
    <t>TOU_REL_0147</t>
  </si>
  <si>
    <t>TOU_REL_0148</t>
  </si>
  <si>
    <t>TOU_REL_0149</t>
  </si>
  <si>
    <t>TOU_REL_0150</t>
  </si>
  <si>
    <t>KIWZP10_S10</t>
  </si>
  <si>
    <t>TOU_REL_0151</t>
  </si>
  <si>
    <t>TOU_REL_0152</t>
  </si>
  <si>
    <t>KIWZP11_S2</t>
  </si>
  <si>
    <t>TOU_REL_0153</t>
  </si>
  <si>
    <t>TOU_REL_0154</t>
  </si>
  <si>
    <t>TOU_REL_0155</t>
  </si>
  <si>
    <t>TOU_REL_0156</t>
  </si>
  <si>
    <t>TOU_REL_0157</t>
  </si>
  <si>
    <t>TOU_REL_0158</t>
  </si>
  <si>
    <t>TOU_REL_0159</t>
  </si>
  <si>
    <t>KIWZP12_S5</t>
  </si>
  <si>
    <t>TOU_REL_0160</t>
  </si>
  <si>
    <t>TOU_REL_0161</t>
  </si>
  <si>
    <t>TOU_REL_0162</t>
  </si>
  <si>
    <t>TOU_REL_0163</t>
  </si>
  <si>
    <t>TOU_REL_0164</t>
  </si>
  <si>
    <t>TOU_REL_0165</t>
  </si>
  <si>
    <t>KIWZP13_S5</t>
  </si>
  <si>
    <t>TOU_REL_0166</t>
  </si>
  <si>
    <t>TOU_REL_0167</t>
  </si>
  <si>
    <t>KIWZP14_S2a</t>
  </si>
  <si>
    <t>TOU_REL_0168</t>
  </si>
  <si>
    <t>TOU_REL_0169</t>
  </si>
  <si>
    <t>KIWZP14_S2b</t>
  </si>
  <si>
    <t>TOU_REL_0170</t>
  </si>
  <si>
    <t>TOU_REL_0171</t>
  </si>
  <si>
    <t>KIWZP14_S3c</t>
  </si>
  <si>
    <t>TOU_REL_0172</t>
  </si>
  <si>
    <t>TOU_REL_0173</t>
  </si>
  <si>
    <t>KIWZP14_S3d</t>
  </si>
  <si>
    <t>TOU_REL_0174</t>
  </si>
  <si>
    <t>TOU_REL_0175</t>
  </si>
  <si>
    <t>TOU_REL_0176</t>
  </si>
  <si>
    <t>KIWZP15_S2</t>
  </si>
  <si>
    <t>TOU_REL_0177</t>
  </si>
  <si>
    <t>TOU_REL_0178</t>
  </si>
  <si>
    <t>TOU_REL_0179</t>
  </si>
  <si>
    <t>TOU_REL_0180</t>
  </si>
  <si>
    <t>TOU_REL_0181</t>
  </si>
  <si>
    <t>KIWZP16_S3</t>
  </si>
  <si>
    <t>TOU_REL_0182</t>
  </si>
  <si>
    <t>TOU_REL_0183</t>
  </si>
  <si>
    <t>KIWZP17_S2</t>
  </si>
  <si>
    <t>TOU_REL_0184</t>
  </si>
  <si>
    <t>TOU_REL_0185</t>
  </si>
  <si>
    <t>TOU_REL_0186</t>
  </si>
  <si>
    <t>TOU_REL_0187</t>
  </si>
  <si>
    <t>TOU_REL_0188</t>
  </si>
  <si>
    <t>KIWZP18_S3</t>
  </si>
  <si>
    <t>TOU_REL_0189</t>
  </si>
  <si>
    <t>TOU_REL_0190</t>
  </si>
  <si>
    <t>TOU_REL_0191</t>
  </si>
  <si>
    <t>TOU_REL_0192</t>
  </si>
  <si>
    <t>KIWZP19_S3</t>
  </si>
  <si>
    <t>TOU_REL_0193</t>
  </si>
  <si>
    <t>TOU_REL_0194</t>
  </si>
  <si>
    <t>TOU_REL_0195</t>
  </si>
  <si>
    <t>TOU_REL_0196</t>
  </si>
  <si>
    <t>KIWZP20_S3</t>
  </si>
  <si>
    <t>TOU_REL_0197</t>
  </si>
  <si>
    <t>TOU_REL_0198</t>
  </si>
  <si>
    <t>TOU_REL_0199</t>
  </si>
  <si>
    <t>TOU_REL_0200</t>
  </si>
  <si>
    <t>TOU_REL_0201</t>
  </si>
  <si>
    <t>KIWZP21_S4</t>
  </si>
  <si>
    <t>TOU_REL_0202</t>
  </si>
  <si>
    <t>TOU_REL_0203</t>
  </si>
  <si>
    <t>KIWZP22_S2</t>
  </si>
  <si>
    <t>TOU_REL_0204</t>
  </si>
  <si>
    <t>TOU_REL_0205</t>
  </si>
  <si>
    <t>TOU_REL_0206</t>
  </si>
  <si>
    <t>KIWZP23_S2</t>
  </si>
  <si>
    <t>TOU_REL_0207</t>
  </si>
  <si>
    <t>TOU_REL_0208</t>
  </si>
  <si>
    <t>TOU_REL_0209</t>
  </si>
  <si>
    <t>KIWZP24_S2</t>
  </si>
  <si>
    <t>TOU_REL_0210</t>
  </si>
  <si>
    <t>TOU_REL_0211</t>
  </si>
  <si>
    <t>KIWZP25_S1</t>
  </si>
  <si>
    <t>TOU_REL_0212</t>
  </si>
  <si>
    <t>KIWZP25_S2</t>
  </si>
  <si>
    <t>TOU_REL_0213</t>
  </si>
  <si>
    <t>TOU_REL_0214</t>
  </si>
  <si>
    <t>TOU_REL_0215</t>
  </si>
  <si>
    <t>TOU_REL_0216</t>
  </si>
  <si>
    <t>TOU_REL_0217</t>
  </si>
  <si>
    <t>TOU_REL_0218</t>
  </si>
  <si>
    <t>KIWZP26_S4</t>
  </si>
  <si>
    <t>TOU_REL_0219</t>
  </si>
  <si>
    <t>TOU_REL_0220</t>
  </si>
  <si>
    <t>KIWZP27_S2</t>
  </si>
  <si>
    <t>TOU_REL_0221</t>
  </si>
  <si>
    <t>TOU_REL_0222</t>
  </si>
  <si>
    <t>TOU_REL_0223</t>
  </si>
  <si>
    <t>KIWZP28_S2</t>
  </si>
  <si>
    <t>TOU_REL_0224</t>
  </si>
  <si>
    <t>TOU_REL_0225</t>
  </si>
  <si>
    <t>TOU_REL_0226</t>
  </si>
  <si>
    <t>TOU_REL_0227</t>
  </si>
  <si>
    <t>TOU_REL_0228</t>
  </si>
  <si>
    <t>KIWZP29_S3</t>
  </si>
  <si>
    <t>TOU_REL_0229</t>
  </si>
  <si>
    <t>TOU_REL_0230</t>
  </si>
  <si>
    <t>KIWZP30_S2</t>
  </si>
  <si>
    <t>TOU_REL_0231</t>
  </si>
  <si>
    <t>TOU_REL_0232</t>
  </si>
  <si>
    <t>TOU_REL_0233</t>
  </si>
  <si>
    <t>KIWZP31_S2</t>
  </si>
  <si>
    <t>TOU_REL_0234</t>
  </si>
  <si>
    <t>TOU_REL_0235</t>
  </si>
  <si>
    <t>TOU_REL_0236</t>
  </si>
  <si>
    <t>TOU_REL_0237</t>
  </si>
  <si>
    <t>TOU_REL_0238</t>
  </si>
  <si>
    <t>TOU_REL_0239</t>
  </si>
  <si>
    <t>TOU_REL_0240</t>
  </si>
  <si>
    <t>KIWZP32_S5</t>
  </si>
  <si>
    <t>TOU_REL_0241</t>
  </si>
  <si>
    <t>TOU_REL_0242</t>
  </si>
  <si>
    <t>TOU_REL_0243</t>
  </si>
  <si>
    <t>TOU_REL_0244</t>
  </si>
  <si>
    <t>KIWZP33_S3</t>
  </si>
  <si>
    <t>TOU_REL_0245</t>
  </si>
  <si>
    <t>TOU_REL_0246</t>
  </si>
  <si>
    <t>KIWZP34_S2</t>
  </si>
  <si>
    <t>TOU_REL_0247</t>
  </si>
  <si>
    <t>TOU_REL_0248</t>
  </si>
  <si>
    <t>TOU_REL_0249</t>
  </si>
  <si>
    <t>KIWZP35_S2</t>
  </si>
  <si>
    <t>TOU_REL_0250</t>
  </si>
  <si>
    <t>TOU_REL_0251</t>
  </si>
  <si>
    <t>TOU_REL_0252</t>
  </si>
  <si>
    <t>KIWZP36_S2</t>
  </si>
  <si>
    <t>TOU_REL_0253</t>
  </si>
  <si>
    <t>TOU_REL_0254</t>
  </si>
  <si>
    <t>TOU_REL_0255</t>
  </si>
  <si>
    <t>KIWZP37_S2a</t>
  </si>
  <si>
    <t>TOU_REL_0256</t>
  </si>
  <si>
    <t>TOU_REL_0257</t>
  </si>
  <si>
    <t>KIWZP37_S2b</t>
  </si>
  <si>
    <t>TOU_REL_0258</t>
  </si>
  <si>
    <t>TOU_REL_0259</t>
  </si>
  <si>
    <t>TOU_REL_0260</t>
  </si>
  <si>
    <t>KIWZP38_S2</t>
  </si>
  <si>
    <t>TOU_REL_0261</t>
  </si>
  <si>
    <t>TOU_REL_0262</t>
  </si>
  <si>
    <t>TOU_REL_0263</t>
  </si>
  <si>
    <t>KIWZP39_S2</t>
  </si>
  <si>
    <t>TOU_REL_0264</t>
  </si>
  <si>
    <t>TOU_REL_0265</t>
  </si>
  <si>
    <t>TOU_REL_0266</t>
  </si>
  <si>
    <t>KIWZW1_S2</t>
  </si>
  <si>
    <t>TOU_REL_0267</t>
  </si>
  <si>
    <t>TOU_REL_0268</t>
  </si>
  <si>
    <t>TOU_REL_0269</t>
  </si>
  <si>
    <t>TOU_REL_0270</t>
  </si>
  <si>
    <t>TOU_REL_0271</t>
  </si>
  <si>
    <t>TOU_REL_0272</t>
  </si>
  <si>
    <t>TOU_REL_0273</t>
  </si>
  <si>
    <t>KIWZW2_S5</t>
  </si>
  <si>
    <t>TOU_REL_0274</t>
  </si>
  <si>
    <t>TOU_REL_0275</t>
  </si>
  <si>
    <t>KIWZW3_S2</t>
  </si>
  <si>
    <t>TOU_REL_0276</t>
  </si>
  <si>
    <t>TOU_REL_0277</t>
  </si>
  <si>
    <t>TOU_REL_0278</t>
  </si>
  <si>
    <t>KIWZW4_S2</t>
  </si>
  <si>
    <t>TOU_REL_0279</t>
  </si>
  <si>
    <t>TOU_REL_0280</t>
  </si>
  <si>
    <t>TOU_REL_0281</t>
  </si>
  <si>
    <t>KIWZW5_S2</t>
  </si>
  <si>
    <t>TOU_REL_0282</t>
  </si>
  <si>
    <t>TOU_REL_0283</t>
  </si>
  <si>
    <t>TOU_REL_0284</t>
  </si>
  <si>
    <t>KIWZW6_S2</t>
  </si>
  <si>
    <t>TOU_REL_0285</t>
  </si>
  <si>
    <t>TOU_REL_0286</t>
  </si>
  <si>
    <t>TOU_REL_0287</t>
  </si>
  <si>
    <t>KIWZW7_S2a</t>
  </si>
  <si>
    <t>TOU_REL_0288</t>
  </si>
  <si>
    <t>TOU_REL_0289</t>
  </si>
  <si>
    <t>KIWZW7_S2b</t>
  </si>
  <si>
    <t>TOU_REL_0290</t>
  </si>
  <si>
    <t>TOU_REL_0291</t>
  </si>
  <si>
    <t>KIWZW7_S3a</t>
  </si>
  <si>
    <t>TOU_REL_0292</t>
  </si>
  <si>
    <t>TOU_REL_0293</t>
  </si>
  <si>
    <t>KIWZW7_S3b</t>
  </si>
  <si>
    <t>TOU_REL_0294</t>
  </si>
  <si>
    <t>TOU_REL_0295</t>
  </si>
  <si>
    <t>KIWZW7_S4</t>
  </si>
  <si>
    <t>TOU_REL_0296</t>
  </si>
  <si>
    <t>TOU_REL_0297</t>
  </si>
  <si>
    <t>TOU_REL_0298</t>
  </si>
  <si>
    <t>KIWP1_S2</t>
  </si>
  <si>
    <t>TOU_REL_0299</t>
  </si>
  <si>
    <t>TOU_REL_0300</t>
  </si>
  <si>
    <t>TOU_REL_0301</t>
  </si>
  <si>
    <t>KIWP2_S2</t>
  </si>
  <si>
    <t>TOU_REL_0302</t>
  </si>
  <si>
    <t>TOU_REL_0303</t>
  </si>
  <si>
    <t>TOU_REL_0304</t>
  </si>
  <si>
    <t>KIWP3_S2</t>
  </si>
  <si>
    <t>TOU_REL_0305</t>
  </si>
  <si>
    <t>TOU_REL_0306</t>
  </si>
  <si>
    <t>TOU_REL_0307</t>
  </si>
  <si>
    <t>KIWP4_S2</t>
  </si>
  <si>
    <t>TOU_REL_0308</t>
  </si>
  <si>
    <t>TOU_REL_0309</t>
  </si>
  <si>
    <t>TOU_REL_0310</t>
  </si>
  <si>
    <t>KIWP5_S2</t>
  </si>
  <si>
    <t>TOU_REL_0311</t>
  </si>
  <si>
    <t>TOU_REL_0312</t>
  </si>
  <si>
    <t>TOU_REL_0313</t>
  </si>
  <si>
    <t>TOU_REL_0314</t>
  </si>
  <si>
    <t>TOU_REL_0315</t>
  </si>
  <si>
    <t>TOU_REL_0316</t>
  </si>
  <si>
    <t>TOU_REL_0317</t>
  </si>
  <si>
    <t>TOU_REL_0318</t>
  </si>
  <si>
    <t>TOU_REL_0319</t>
  </si>
  <si>
    <t>TOU_REL_0320</t>
  </si>
  <si>
    <t>TOU_REL_0321</t>
  </si>
  <si>
    <t>Type</t>
  </si>
  <si>
    <t>source before target, both still happen</t>
  </si>
  <si>
    <t>excludes</t>
  </si>
  <si>
    <t>the two steps can't both happen</t>
  </si>
  <si>
    <t>two whole tagged groups can't both happen</t>
  </si>
  <si>
    <t xml:space="preserve">source enables target's existence	</t>
  </si>
  <si>
    <t>source permanently removes target</t>
  </si>
  <si>
    <t>source is a Block_ID tag, target is a step sealed in it (no free roam until the block is finished)</t>
  </si>
  <si>
    <t>sheet</t>
  </si>
  <si>
    <t>row</t>
  </si>
  <si>
    <t>step_id</t>
  </si>
  <si>
    <t>column</t>
  </si>
  <si>
    <t>cell_value</t>
  </si>
  <si>
    <t>unresolved_part</t>
  </si>
  <si>
    <t>White Orchard</t>
  </si>
  <si>
    <t>WOF2_S3a</t>
  </si>
  <si>
    <t>WOF2_S3b</t>
  </si>
  <si>
    <t>NF18_S3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</si>
</sst>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  <xf numFmtId="0" fontId="5" fillId="0" borderId="0" xfId="1" applyFont="1"/>
    <xf numFmtId="0" fontId="6" fillId="0" borderId="0" xfId="0" applyFont="1"/>
  </cellXfs>
  <cellStyles count="2">
    <cellStyle name="Hiperłącze" xfId="1" builtinId="8"/>
    <cellStyle name="Normalny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workbookViewId="0">
      <selection activeCell="Q30" sqref="P30:Q35"/>
    </sheetView>
  </sheetViews>
  <sheetFormatPr defaultRowHeight="15" x14ac:dyDescent="0.25"/>
  <cols>
    <col min="1" max="2" width="10.85546875" customWidth="1"/>
    <col min="3" max="3" width="11.5703125" bestFit="1" customWidth="1"/>
    <col min="4" max="5" width="10.85546875" customWidth="1"/>
    <col min="6" max="6" width="35" bestFit="1" customWidth="1"/>
    <col min="7" max="7" width="35" customWidth="1"/>
    <col min="9" max="9" width="26.42578125" bestFit="1" customWidth="1"/>
    <col min="10" max="10" width="20.140625" bestFit="1" customWidth="1"/>
    <col min="11" max="11" width="12.7109375" bestFit="1" customWidth="1"/>
    <col min="12" max="13" width="12.7109375" customWidth="1"/>
    <col min="14" max="15" width="20.85546875" bestFit="1" customWidth="1"/>
    <col min="16" max="16" width="16.5703125" bestFit="1" customWidth="1"/>
    <col min="17" max="17" width="15.5703125" bestFit="1" customWidth="1"/>
  </cols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0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5">
      <c r="A2" t="s">
        <v>30</v>
      </c>
      <c r="B2" t="s">
        <v>31</v>
      </c>
      <c r="C2" t="str">
        <f t="shared" ref="C2:C40" si="0">_xlfn.CONCAT(D2,"_S",E2)</f>
        <v>WOF1_S1</v>
      </c>
      <c r="D2" t="s">
        <v>32</v>
      </c>
      <c r="E2">
        <v>1</v>
      </c>
      <c r="F2" t="s">
        <v>33</v>
      </c>
      <c r="G2" t="s">
        <v>34</v>
      </c>
      <c r="H2" t="s">
        <v>35</v>
      </c>
      <c r="I2" t="s">
        <v>36</v>
      </c>
      <c r="J2">
        <v>1</v>
      </c>
      <c r="K2">
        <v>0</v>
      </c>
      <c r="L2" t="s">
        <v>36</v>
      </c>
      <c r="M2" t="s">
        <v>5</v>
      </c>
      <c r="N2" t="s">
        <v>37</v>
      </c>
      <c r="O2" t="s">
        <v>37</v>
      </c>
      <c r="P2" t="str">
        <f>_xlfn.CONCAT(D2,"_BLOCK")</f>
        <v>WOF1_BLOCK</v>
      </c>
      <c r="Q2" t="s">
        <v>37</v>
      </c>
    </row>
    <row r="3" spans="1:17" x14ac:dyDescent="0.25">
      <c r="A3" t="s">
        <v>30</v>
      </c>
      <c r="B3" t="s">
        <v>31</v>
      </c>
      <c r="C3" t="str">
        <f t="shared" si="0"/>
        <v>WOF1_S2</v>
      </c>
      <c r="D3" t="s">
        <v>32</v>
      </c>
      <c r="E3">
        <v>2</v>
      </c>
      <c r="F3" t="s">
        <v>33</v>
      </c>
      <c r="G3" t="s">
        <v>38</v>
      </c>
      <c r="H3" t="s">
        <v>35</v>
      </c>
      <c r="I3" t="s">
        <v>36</v>
      </c>
      <c r="J3">
        <v>1</v>
      </c>
      <c r="K3">
        <v>250</v>
      </c>
      <c r="L3" t="s">
        <v>36</v>
      </c>
      <c r="M3" t="s">
        <v>5</v>
      </c>
      <c r="N3" t="s">
        <v>37</v>
      </c>
      <c r="O3" t="s">
        <v>39</v>
      </c>
      <c r="P3" t="str">
        <f>_xlfn.CONCAT(D3,"_BLOCK")</f>
        <v>WOF1_BLOCK</v>
      </c>
      <c r="Q3" t="s">
        <v>37</v>
      </c>
    </row>
    <row r="4" spans="1:17" x14ac:dyDescent="0.25">
      <c r="A4" t="s">
        <v>30</v>
      </c>
      <c r="B4" t="s">
        <v>31</v>
      </c>
      <c r="C4" t="str">
        <f t="shared" si="0"/>
        <v>WOF1_S3a</v>
      </c>
      <c r="D4" t="s">
        <v>32</v>
      </c>
      <c r="E4" t="s">
        <v>40</v>
      </c>
      <c r="F4" t="s">
        <v>33</v>
      </c>
      <c r="G4" t="s">
        <v>41</v>
      </c>
      <c r="H4" t="s">
        <v>35</v>
      </c>
      <c r="I4" t="s">
        <v>36</v>
      </c>
      <c r="J4">
        <v>1</v>
      </c>
      <c r="K4">
        <v>40</v>
      </c>
      <c r="L4" t="s">
        <v>42</v>
      </c>
      <c r="M4" t="s">
        <v>5</v>
      </c>
      <c r="N4" t="s">
        <v>37</v>
      </c>
      <c r="O4" t="s">
        <v>43</v>
      </c>
      <c r="P4" t="s">
        <v>37</v>
      </c>
      <c r="Q4" t="s">
        <v>37</v>
      </c>
    </row>
    <row r="5" spans="1:17" x14ac:dyDescent="0.25">
      <c r="A5" t="s">
        <v>30</v>
      </c>
      <c r="B5" t="s">
        <v>31</v>
      </c>
      <c r="C5" t="str">
        <f t="shared" si="0"/>
        <v>WOF1_S3b</v>
      </c>
      <c r="D5" t="s">
        <v>32</v>
      </c>
      <c r="E5" t="s">
        <v>44</v>
      </c>
      <c r="F5" t="s">
        <v>33</v>
      </c>
      <c r="G5" t="s">
        <v>45</v>
      </c>
      <c r="H5" t="s">
        <v>35</v>
      </c>
      <c r="I5" t="s">
        <v>36</v>
      </c>
      <c r="J5">
        <v>1</v>
      </c>
      <c r="K5">
        <v>0</v>
      </c>
      <c r="L5" t="s">
        <v>42</v>
      </c>
      <c r="M5" t="s">
        <v>5</v>
      </c>
      <c r="N5" t="s">
        <v>37</v>
      </c>
      <c r="O5" t="s">
        <v>43</v>
      </c>
      <c r="P5" t="s">
        <v>37</v>
      </c>
      <c r="Q5" t="s">
        <v>37</v>
      </c>
    </row>
    <row r="6" spans="1:17" x14ac:dyDescent="0.25">
      <c r="A6" t="s">
        <v>30</v>
      </c>
      <c r="B6" t="s">
        <v>31</v>
      </c>
      <c r="C6" t="str">
        <f t="shared" si="0"/>
        <v>WOF1_S4</v>
      </c>
      <c r="D6" t="s">
        <v>32</v>
      </c>
      <c r="E6">
        <v>4</v>
      </c>
      <c r="F6" t="s">
        <v>46</v>
      </c>
      <c r="G6" t="s">
        <v>47</v>
      </c>
      <c r="H6" t="s">
        <v>35</v>
      </c>
      <c r="I6" t="s">
        <v>36</v>
      </c>
      <c r="J6">
        <v>1</v>
      </c>
      <c r="K6">
        <v>350</v>
      </c>
      <c r="L6" t="s">
        <v>36</v>
      </c>
      <c r="M6" t="s">
        <v>5</v>
      </c>
      <c r="N6" t="s">
        <v>37</v>
      </c>
      <c r="O6" t="s">
        <v>48</v>
      </c>
      <c r="P6" t="str">
        <f>_xlfn.CONCAT(D6,"_BLOCK")</f>
        <v>WOF1_BLOCK</v>
      </c>
      <c r="Q6" t="s">
        <v>37</v>
      </c>
    </row>
    <row r="7" spans="1:17" x14ac:dyDescent="0.25">
      <c r="A7" t="s">
        <v>30</v>
      </c>
      <c r="B7" t="s">
        <v>31</v>
      </c>
      <c r="C7" t="str">
        <f t="shared" si="0"/>
        <v>WOF1_S5</v>
      </c>
      <c r="D7" t="s">
        <v>32</v>
      </c>
      <c r="E7">
        <v>5</v>
      </c>
      <c r="F7" t="s">
        <v>46</v>
      </c>
      <c r="G7" t="s">
        <v>49</v>
      </c>
      <c r="H7" t="s">
        <v>35</v>
      </c>
      <c r="I7" t="s">
        <v>36</v>
      </c>
      <c r="J7">
        <v>1</v>
      </c>
      <c r="K7">
        <v>150</v>
      </c>
      <c r="L7" t="s">
        <v>36</v>
      </c>
      <c r="M7" t="s">
        <v>5</v>
      </c>
      <c r="N7" t="s">
        <v>37</v>
      </c>
      <c r="O7" t="s">
        <v>50</v>
      </c>
      <c r="P7" t="s">
        <v>51</v>
      </c>
      <c r="Q7" t="s">
        <v>37</v>
      </c>
    </row>
    <row r="8" spans="1:17" x14ac:dyDescent="0.25">
      <c r="A8" t="s">
        <v>30</v>
      </c>
      <c r="B8" t="s">
        <v>31</v>
      </c>
      <c r="C8" t="str">
        <f t="shared" si="0"/>
        <v>WOF2_S1</v>
      </c>
      <c r="D8" t="s">
        <v>52</v>
      </c>
      <c r="E8">
        <v>1</v>
      </c>
      <c r="F8" t="s">
        <v>53</v>
      </c>
      <c r="G8" t="s">
        <v>54</v>
      </c>
      <c r="H8" t="s">
        <v>35</v>
      </c>
      <c r="I8" t="s">
        <v>36</v>
      </c>
      <c r="J8">
        <v>3</v>
      </c>
      <c r="K8">
        <v>0</v>
      </c>
      <c r="L8" t="s">
        <v>36</v>
      </c>
      <c r="M8" t="s">
        <v>5</v>
      </c>
      <c r="N8" t="s">
        <v>37</v>
      </c>
      <c r="O8" t="s">
        <v>55</v>
      </c>
      <c r="P8" t="s">
        <v>56</v>
      </c>
      <c r="Q8" t="s">
        <v>37</v>
      </c>
    </row>
    <row r="9" spans="1:17" x14ac:dyDescent="0.25">
      <c r="A9" t="s">
        <v>30</v>
      </c>
      <c r="B9" t="s">
        <v>31</v>
      </c>
      <c r="C9" t="str">
        <f t="shared" si="0"/>
        <v>WOF2_S2</v>
      </c>
      <c r="D9" t="s">
        <v>52</v>
      </c>
      <c r="E9">
        <v>2</v>
      </c>
      <c r="F9" t="s">
        <v>53</v>
      </c>
      <c r="G9" t="s">
        <v>57</v>
      </c>
      <c r="H9" t="s">
        <v>35</v>
      </c>
      <c r="I9" t="s">
        <v>36</v>
      </c>
      <c r="J9">
        <v>3</v>
      </c>
      <c r="K9">
        <v>350</v>
      </c>
      <c r="L9" t="s">
        <v>36</v>
      </c>
      <c r="M9" t="s">
        <v>5</v>
      </c>
      <c r="N9" t="s">
        <v>37</v>
      </c>
      <c r="O9" t="s">
        <v>55</v>
      </c>
      <c r="P9" t="s">
        <v>56</v>
      </c>
      <c r="Q9" t="s">
        <v>37</v>
      </c>
    </row>
    <row r="10" spans="1:17" x14ac:dyDescent="0.25">
      <c r="A10" t="s">
        <v>30</v>
      </c>
      <c r="B10" t="s">
        <v>31</v>
      </c>
      <c r="C10" t="str">
        <f t="shared" si="0"/>
        <v>WOF2_S3</v>
      </c>
      <c r="D10" t="s">
        <v>52</v>
      </c>
      <c r="E10">
        <v>3</v>
      </c>
      <c r="F10" t="s">
        <v>53</v>
      </c>
      <c r="G10" t="s">
        <v>58</v>
      </c>
      <c r="H10" t="s">
        <v>35</v>
      </c>
      <c r="I10" t="s">
        <v>36</v>
      </c>
      <c r="J10">
        <v>3</v>
      </c>
      <c r="K10">
        <v>500</v>
      </c>
      <c r="L10" t="s">
        <v>36</v>
      </c>
      <c r="M10" t="s">
        <v>5</v>
      </c>
      <c r="N10" t="s">
        <v>37</v>
      </c>
      <c r="O10" t="s">
        <v>59</v>
      </c>
      <c r="P10" t="s">
        <v>37</v>
      </c>
      <c r="Q10" t="s">
        <v>37</v>
      </c>
    </row>
    <row r="11" spans="1:17" x14ac:dyDescent="0.25">
      <c r="A11" t="s">
        <v>30</v>
      </c>
      <c r="B11" t="s">
        <v>31</v>
      </c>
      <c r="C11" t="str">
        <f t="shared" si="0"/>
        <v>WOF2_S5a</v>
      </c>
      <c r="D11" t="s">
        <v>52</v>
      </c>
      <c r="E11" t="s">
        <v>60</v>
      </c>
      <c r="F11" t="s">
        <v>53</v>
      </c>
      <c r="G11" t="s">
        <v>61</v>
      </c>
      <c r="H11" t="s">
        <v>35</v>
      </c>
      <c r="I11" t="s">
        <v>36</v>
      </c>
      <c r="J11">
        <v>3</v>
      </c>
      <c r="K11">
        <v>350</v>
      </c>
      <c r="L11" t="s">
        <v>36</v>
      </c>
      <c r="M11" t="s">
        <v>5</v>
      </c>
      <c r="N11" t="s">
        <v>37</v>
      </c>
      <c r="O11" t="s">
        <v>62</v>
      </c>
      <c r="P11" t="s">
        <v>37</v>
      </c>
      <c r="Q11" t="str">
        <f>_xlfn.CONCAT(D11,"_PATH_A")</f>
        <v>WOF2_PATH_A</v>
      </c>
    </row>
    <row r="12" spans="1:17" x14ac:dyDescent="0.25">
      <c r="A12" t="s">
        <v>30</v>
      </c>
      <c r="B12" t="s">
        <v>31</v>
      </c>
      <c r="C12" t="str">
        <f t="shared" si="0"/>
        <v>WOF2_S5b</v>
      </c>
      <c r="D12" t="s">
        <v>52</v>
      </c>
      <c r="E12" t="s">
        <v>63</v>
      </c>
      <c r="F12" t="s">
        <v>53</v>
      </c>
      <c r="G12" t="s">
        <v>64</v>
      </c>
      <c r="H12" t="s">
        <v>35</v>
      </c>
      <c r="I12" t="s">
        <v>36</v>
      </c>
      <c r="J12">
        <v>3</v>
      </c>
      <c r="K12">
        <v>500</v>
      </c>
      <c r="L12" t="s">
        <v>36</v>
      </c>
      <c r="M12" t="s">
        <v>5</v>
      </c>
      <c r="N12" t="s">
        <v>37</v>
      </c>
      <c r="O12" t="s">
        <v>62</v>
      </c>
      <c r="P12" t="s">
        <v>37</v>
      </c>
      <c r="Q12" t="str">
        <f>_xlfn.CONCAT(D12,"_PATH_B")</f>
        <v>WOF2_PATH_B</v>
      </c>
    </row>
    <row r="13" spans="1:17" x14ac:dyDescent="0.25">
      <c r="A13" t="s">
        <v>30</v>
      </c>
      <c r="B13" t="s">
        <v>31</v>
      </c>
      <c r="C13" t="str">
        <f t="shared" si="0"/>
        <v>WOF3_S1</v>
      </c>
      <c r="D13" t="s">
        <v>65</v>
      </c>
      <c r="E13">
        <v>1</v>
      </c>
      <c r="F13" t="s">
        <v>66</v>
      </c>
      <c r="G13" t="s">
        <v>54</v>
      </c>
      <c r="H13" t="s">
        <v>35</v>
      </c>
      <c r="I13" t="s">
        <v>36</v>
      </c>
      <c r="J13">
        <v>2</v>
      </c>
      <c r="K13">
        <v>0</v>
      </c>
      <c r="L13" t="s">
        <v>36</v>
      </c>
      <c r="M13" t="s">
        <v>5</v>
      </c>
      <c r="N13" t="s">
        <v>37</v>
      </c>
      <c r="O13" t="s">
        <v>67</v>
      </c>
      <c r="P13" t="str">
        <f>_xlfn.CONCAT(D13,"_BLOCK")</f>
        <v>WOF3_BLOCK</v>
      </c>
      <c r="Q13" t="s">
        <v>37</v>
      </c>
    </row>
    <row r="14" spans="1:17" x14ac:dyDescent="0.25">
      <c r="A14" t="s">
        <v>30</v>
      </c>
      <c r="B14" t="s">
        <v>31</v>
      </c>
      <c r="C14" t="str">
        <f t="shared" si="0"/>
        <v>WOF3_S2</v>
      </c>
      <c r="D14" t="s">
        <v>65</v>
      </c>
      <c r="E14">
        <v>2</v>
      </c>
      <c r="F14" t="s">
        <v>66</v>
      </c>
      <c r="G14" t="s">
        <v>49</v>
      </c>
      <c r="H14" t="s">
        <v>35</v>
      </c>
      <c r="I14" t="s">
        <v>36</v>
      </c>
      <c r="J14">
        <v>2</v>
      </c>
      <c r="K14">
        <v>300</v>
      </c>
      <c r="L14" t="s">
        <v>36</v>
      </c>
      <c r="M14" t="s">
        <v>5</v>
      </c>
      <c r="N14" t="s">
        <v>37</v>
      </c>
      <c r="O14" t="s">
        <v>67</v>
      </c>
      <c r="P14" t="str">
        <f>_xlfn.CONCAT(D14,"_BLOCK")</f>
        <v>WOF3_BLOCK</v>
      </c>
      <c r="Q14" t="s">
        <v>37</v>
      </c>
    </row>
    <row r="15" spans="1:17" x14ac:dyDescent="0.25">
      <c r="A15" t="s">
        <v>30</v>
      </c>
      <c r="B15" t="s">
        <v>31</v>
      </c>
      <c r="C15" t="str">
        <f t="shared" si="0"/>
        <v>WOF4_S1</v>
      </c>
      <c r="D15" t="s">
        <v>68</v>
      </c>
      <c r="E15">
        <v>1</v>
      </c>
      <c r="F15" t="s">
        <v>69</v>
      </c>
      <c r="G15" t="s">
        <v>34</v>
      </c>
      <c r="H15" t="s">
        <v>35</v>
      </c>
      <c r="I15" t="s">
        <v>36</v>
      </c>
      <c r="J15">
        <v>30</v>
      </c>
      <c r="K15">
        <v>0</v>
      </c>
      <c r="L15" t="s">
        <v>36</v>
      </c>
      <c r="M15" t="s">
        <v>5</v>
      </c>
      <c r="N15" t="s">
        <v>37</v>
      </c>
      <c r="O15" t="s">
        <v>70</v>
      </c>
      <c r="P15" t="s">
        <v>71</v>
      </c>
      <c r="Q15" t="str">
        <f>_xlfn.CONCAT(D15,"_PATH_A")</f>
        <v>WOF4_PATH_A</v>
      </c>
    </row>
    <row r="16" spans="1:17" x14ac:dyDescent="0.25">
      <c r="A16" t="s">
        <v>30</v>
      </c>
      <c r="B16" t="s">
        <v>31</v>
      </c>
      <c r="C16" t="str">
        <f t="shared" si="0"/>
        <v>WOF4_S2a</v>
      </c>
      <c r="D16" t="s">
        <v>68</v>
      </c>
      <c r="E16" t="s">
        <v>72</v>
      </c>
      <c r="F16" t="s">
        <v>69</v>
      </c>
      <c r="G16" t="s">
        <v>73</v>
      </c>
      <c r="H16" t="s">
        <v>35</v>
      </c>
      <c r="I16" t="s">
        <v>36</v>
      </c>
      <c r="J16">
        <v>30</v>
      </c>
      <c r="K16">
        <v>150</v>
      </c>
      <c r="L16" t="s">
        <v>36</v>
      </c>
      <c r="M16" t="s">
        <v>5</v>
      </c>
      <c r="N16" t="s">
        <v>37</v>
      </c>
      <c r="O16" t="s">
        <v>70</v>
      </c>
      <c r="P16" t="s">
        <v>71</v>
      </c>
      <c r="Q16" t="str">
        <f>_xlfn.CONCAT(D16,"_PATH_A")</f>
        <v>WOF4_PATH_A</v>
      </c>
    </row>
    <row r="17" spans="1:17" x14ac:dyDescent="0.25">
      <c r="A17" t="s">
        <v>30</v>
      </c>
      <c r="B17" t="s">
        <v>31</v>
      </c>
      <c r="C17" t="str">
        <f t="shared" si="0"/>
        <v>WOF5_S2b</v>
      </c>
      <c r="D17" t="s">
        <v>74</v>
      </c>
      <c r="E17" t="s">
        <v>75</v>
      </c>
      <c r="F17" t="s">
        <v>69</v>
      </c>
      <c r="G17" t="s">
        <v>76</v>
      </c>
      <c r="H17" t="s">
        <v>35</v>
      </c>
      <c r="I17" t="s">
        <v>36</v>
      </c>
      <c r="J17">
        <v>30</v>
      </c>
      <c r="K17">
        <v>200</v>
      </c>
      <c r="L17" t="s">
        <v>36</v>
      </c>
      <c r="M17" t="s">
        <v>5</v>
      </c>
      <c r="N17" t="s">
        <v>37</v>
      </c>
      <c r="O17" t="s">
        <v>70</v>
      </c>
      <c r="P17" t="s">
        <v>37</v>
      </c>
      <c r="Q17" t="str">
        <f>_xlfn.CONCAT(D17,"_PATH_B")</f>
        <v>WOF5_PATH_B</v>
      </c>
    </row>
    <row r="18" spans="1:17" x14ac:dyDescent="0.25">
      <c r="A18" t="s">
        <v>30</v>
      </c>
      <c r="B18" t="s">
        <v>31</v>
      </c>
      <c r="C18" t="str">
        <f t="shared" si="0"/>
        <v>WOF6_S2c</v>
      </c>
      <c r="D18" t="s">
        <v>77</v>
      </c>
      <c r="E18" t="s">
        <v>78</v>
      </c>
      <c r="F18" t="s">
        <v>69</v>
      </c>
      <c r="G18" t="s">
        <v>79</v>
      </c>
      <c r="H18" t="s">
        <v>35</v>
      </c>
      <c r="I18" t="s">
        <v>36</v>
      </c>
      <c r="J18">
        <v>30</v>
      </c>
      <c r="K18">
        <v>200</v>
      </c>
      <c r="L18" t="s">
        <v>36</v>
      </c>
      <c r="M18" t="s">
        <v>5</v>
      </c>
      <c r="N18" t="s">
        <v>37</v>
      </c>
      <c r="O18" t="s">
        <v>70</v>
      </c>
      <c r="P18" t="str">
        <f>_xlfn.CONCAT(D18,"_BLOCK")</f>
        <v>WOF6_BLOCK</v>
      </c>
      <c r="Q18" t="str">
        <f>_xlfn.CONCAT(D18,"_PATH_C")</f>
        <v>WOF6_PATH_C</v>
      </c>
    </row>
    <row r="19" spans="1:17" x14ac:dyDescent="0.25">
      <c r="A19" t="s">
        <v>30</v>
      </c>
      <c r="B19" t="s">
        <v>31</v>
      </c>
      <c r="C19" t="str">
        <f t="shared" si="0"/>
        <v>WOF6_S3c</v>
      </c>
      <c r="D19" t="s">
        <v>77</v>
      </c>
      <c r="E19" t="s">
        <v>80</v>
      </c>
      <c r="F19" t="s">
        <v>69</v>
      </c>
      <c r="G19" t="s">
        <v>81</v>
      </c>
      <c r="H19" t="s">
        <v>35</v>
      </c>
      <c r="I19" t="s">
        <v>36</v>
      </c>
      <c r="J19">
        <v>30</v>
      </c>
      <c r="K19">
        <v>1000</v>
      </c>
      <c r="L19" t="s">
        <v>36</v>
      </c>
      <c r="M19" t="s">
        <v>5</v>
      </c>
      <c r="N19" t="s">
        <v>37</v>
      </c>
      <c r="O19" t="s">
        <v>70</v>
      </c>
      <c r="P19" t="str">
        <f>_xlfn.CONCAT(D19,"_BLOCK")</f>
        <v>WOF6_BLOCK</v>
      </c>
      <c r="Q19" t="str">
        <f>_xlfn.CONCAT(D19,"_PATH_C")</f>
        <v>WOF6_PATH_C</v>
      </c>
    </row>
    <row r="20" spans="1:17" x14ac:dyDescent="0.25">
      <c r="A20" t="s">
        <v>82</v>
      </c>
      <c r="B20" t="s">
        <v>31</v>
      </c>
      <c r="C20" t="str">
        <f t="shared" si="0"/>
        <v>WOZP1_S1</v>
      </c>
      <c r="D20" t="s">
        <v>83</v>
      </c>
      <c r="E20">
        <v>1</v>
      </c>
      <c r="F20" t="s">
        <v>84</v>
      </c>
      <c r="G20" t="s">
        <v>34</v>
      </c>
      <c r="H20" t="s">
        <v>35</v>
      </c>
      <c r="I20" t="s">
        <v>36</v>
      </c>
      <c r="J20">
        <v>2</v>
      </c>
      <c r="K20">
        <v>0</v>
      </c>
      <c r="L20" t="s">
        <v>36</v>
      </c>
      <c r="M20" t="s">
        <v>5</v>
      </c>
      <c r="N20" t="s">
        <v>85</v>
      </c>
      <c r="O20" t="s">
        <v>86</v>
      </c>
      <c r="P20" t="s">
        <v>87</v>
      </c>
      <c r="Q20" t="s">
        <v>37</v>
      </c>
    </row>
    <row r="21" spans="1:17" x14ac:dyDescent="0.25">
      <c r="A21" t="s">
        <v>82</v>
      </c>
      <c r="B21" t="s">
        <v>31</v>
      </c>
      <c r="C21" t="str">
        <f t="shared" si="0"/>
        <v>WOZP1_S2</v>
      </c>
      <c r="D21" t="s">
        <v>83</v>
      </c>
      <c r="E21">
        <v>2</v>
      </c>
      <c r="F21" t="s">
        <v>84</v>
      </c>
      <c r="G21" t="s">
        <v>49</v>
      </c>
      <c r="H21" t="s">
        <v>35</v>
      </c>
      <c r="I21" t="s">
        <v>36</v>
      </c>
      <c r="J21">
        <v>2</v>
      </c>
      <c r="K21">
        <v>350</v>
      </c>
      <c r="L21" t="s">
        <v>36</v>
      </c>
      <c r="M21" t="s">
        <v>5</v>
      </c>
      <c r="N21" t="s">
        <v>85</v>
      </c>
      <c r="O21" t="s">
        <v>88</v>
      </c>
      <c r="P21" t="s">
        <v>87</v>
      </c>
      <c r="Q21" t="s">
        <v>37</v>
      </c>
    </row>
    <row r="22" spans="1:17" x14ac:dyDescent="0.25">
      <c r="A22" t="s">
        <v>82</v>
      </c>
      <c r="B22" t="s">
        <v>31</v>
      </c>
      <c r="C22" t="str">
        <f t="shared" si="0"/>
        <v>WOZP2_S1</v>
      </c>
      <c r="D22" t="s">
        <v>89</v>
      </c>
      <c r="E22">
        <v>1</v>
      </c>
      <c r="F22" t="s">
        <v>90</v>
      </c>
      <c r="G22" t="s">
        <v>34</v>
      </c>
      <c r="H22" t="s">
        <v>35</v>
      </c>
      <c r="I22" t="s">
        <v>36</v>
      </c>
      <c r="J22">
        <v>1</v>
      </c>
      <c r="K22">
        <v>0</v>
      </c>
      <c r="L22" t="s">
        <v>36</v>
      </c>
      <c r="M22" t="s">
        <v>5</v>
      </c>
      <c r="N22" t="s">
        <v>85</v>
      </c>
      <c r="O22" t="s">
        <v>86</v>
      </c>
      <c r="P22" t="s">
        <v>91</v>
      </c>
      <c r="Q22" t="s">
        <v>37</v>
      </c>
    </row>
    <row r="23" spans="1:17" x14ac:dyDescent="0.25">
      <c r="A23" t="s">
        <v>82</v>
      </c>
      <c r="B23" t="s">
        <v>31</v>
      </c>
      <c r="C23" t="str">
        <f t="shared" si="0"/>
        <v>WOZP2_S2</v>
      </c>
      <c r="D23" t="s">
        <v>89</v>
      </c>
      <c r="E23">
        <v>2</v>
      </c>
      <c r="F23" t="s">
        <v>90</v>
      </c>
      <c r="G23" t="s">
        <v>49</v>
      </c>
      <c r="H23" t="s">
        <v>35</v>
      </c>
      <c r="I23" t="s">
        <v>36</v>
      </c>
      <c r="J23">
        <v>1</v>
      </c>
      <c r="K23">
        <v>25</v>
      </c>
      <c r="L23" t="s">
        <v>36</v>
      </c>
      <c r="M23" t="s">
        <v>5</v>
      </c>
      <c r="N23" t="s">
        <v>85</v>
      </c>
      <c r="O23" t="s">
        <v>92</v>
      </c>
      <c r="P23" t="s">
        <v>91</v>
      </c>
      <c r="Q23" t="s">
        <v>37</v>
      </c>
    </row>
    <row r="24" spans="1:17" x14ac:dyDescent="0.25">
      <c r="A24" t="s">
        <v>82</v>
      </c>
      <c r="B24" t="s">
        <v>31</v>
      </c>
      <c r="C24" t="str">
        <f t="shared" si="0"/>
        <v>WOZP3_S1</v>
      </c>
      <c r="D24" t="s">
        <v>93</v>
      </c>
      <c r="E24">
        <v>1</v>
      </c>
      <c r="F24" t="s">
        <v>94</v>
      </c>
      <c r="G24" t="s">
        <v>34</v>
      </c>
      <c r="H24" t="s">
        <v>35</v>
      </c>
      <c r="I24" t="s">
        <v>36</v>
      </c>
      <c r="J24">
        <v>1</v>
      </c>
      <c r="K24">
        <v>0</v>
      </c>
      <c r="L24" t="s">
        <v>36</v>
      </c>
      <c r="M24" t="s">
        <v>5</v>
      </c>
      <c r="N24" t="s">
        <v>85</v>
      </c>
      <c r="O24" t="s">
        <v>86</v>
      </c>
      <c r="P24" t="s">
        <v>95</v>
      </c>
      <c r="Q24" t="s">
        <v>37</v>
      </c>
    </row>
    <row r="25" spans="1:17" x14ac:dyDescent="0.25">
      <c r="A25" t="s">
        <v>82</v>
      </c>
      <c r="B25" t="s">
        <v>31</v>
      </c>
      <c r="C25" t="str">
        <f t="shared" si="0"/>
        <v>WOZP3_S2a</v>
      </c>
      <c r="D25" t="s">
        <v>93</v>
      </c>
      <c r="E25" t="s">
        <v>72</v>
      </c>
      <c r="F25" t="s">
        <v>94</v>
      </c>
      <c r="G25" t="s">
        <v>96</v>
      </c>
      <c r="H25" t="s">
        <v>35</v>
      </c>
      <c r="I25" t="s">
        <v>36</v>
      </c>
      <c r="J25">
        <v>1</v>
      </c>
      <c r="K25">
        <v>10</v>
      </c>
      <c r="L25" t="s">
        <v>36</v>
      </c>
      <c r="M25" t="s">
        <v>5</v>
      </c>
      <c r="N25" t="s">
        <v>85</v>
      </c>
      <c r="O25" t="s">
        <v>97</v>
      </c>
      <c r="P25" t="s">
        <v>95</v>
      </c>
      <c r="Q25" t="str">
        <f>_xlfn.CONCAT(D25,"_PATH_A")</f>
        <v>WOZP3_PATH_A</v>
      </c>
    </row>
    <row r="26" spans="1:17" x14ac:dyDescent="0.25">
      <c r="A26" t="s">
        <v>82</v>
      </c>
      <c r="B26" t="s">
        <v>31</v>
      </c>
      <c r="C26" t="str">
        <f t="shared" si="0"/>
        <v>WOZP3_S2b</v>
      </c>
      <c r="D26" t="s">
        <v>93</v>
      </c>
      <c r="E26" t="s">
        <v>75</v>
      </c>
      <c r="F26" t="s">
        <v>94</v>
      </c>
      <c r="G26" t="s">
        <v>98</v>
      </c>
      <c r="H26" t="s">
        <v>35</v>
      </c>
      <c r="I26" t="s">
        <v>36</v>
      </c>
      <c r="J26">
        <v>1</v>
      </c>
      <c r="K26">
        <v>25</v>
      </c>
      <c r="L26" t="s">
        <v>36</v>
      </c>
      <c r="M26" t="s">
        <v>5</v>
      </c>
      <c r="N26" t="s">
        <v>85</v>
      </c>
      <c r="O26" t="s">
        <v>97</v>
      </c>
      <c r="P26" t="s">
        <v>95</v>
      </c>
      <c r="Q26" t="str">
        <f>_xlfn.CONCAT(D26,"_PATH_B")</f>
        <v>WOZP3_PATH_B</v>
      </c>
    </row>
    <row r="27" spans="1:17" x14ac:dyDescent="0.25">
      <c r="A27" t="s">
        <v>82</v>
      </c>
      <c r="B27" t="s">
        <v>31</v>
      </c>
      <c r="C27" t="str">
        <f t="shared" si="0"/>
        <v>WOZP4_S1</v>
      </c>
      <c r="D27" t="s">
        <v>99</v>
      </c>
      <c r="E27">
        <v>1</v>
      </c>
      <c r="F27" t="s">
        <v>100</v>
      </c>
      <c r="G27" t="s">
        <v>34</v>
      </c>
      <c r="H27" t="s">
        <v>35</v>
      </c>
      <c r="I27" t="s">
        <v>36</v>
      </c>
      <c r="J27">
        <v>1</v>
      </c>
      <c r="K27">
        <v>0</v>
      </c>
      <c r="L27" t="s">
        <v>36</v>
      </c>
      <c r="M27" t="s">
        <v>5</v>
      </c>
      <c r="N27" t="s">
        <v>85</v>
      </c>
      <c r="O27" t="s">
        <v>86</v>
      </c>
      <c r="P27" t="s">
        <v>101</v>
      </c>
      <c r="Q27" t="s">
        <v>37</v>
      </c>
    </row>
    <row r="28" spans="1:17" x14ac:dyDescent="0.25">
      <c r="A28" t="s">
        <v>82</v>
      </c>
      <c r="B28" t="s">
        <v>31</v>
      </c>
      <c r="C28" t="str">
        <f t="shared" si="0"/>
        <v>WOZP4_S2</v>
      </c>
      <c r="D28" t="s">
        <v>99</v>
      </c>
      <c r="E28">
        <v>2</v>
      </c>
      <c r="F28" t="s">
        <v>100</v>
      </c>
      <c r="G28" t="s">
        <v>49</v>
      </c>
      <c r="H28" t="s">
        <v>35</v>
      </c>
      <c r="I28" t="s">
        <v>36</v>
      </c>
      <c r="J28">
        <v>1</v>
      </c>
      <c r="K28">
        <v>10</v>
      </c>
      <c r="L28" t="s">
        <v>36</v>
      </c>
      <c r="M28" t="s">
        <v>5</v>
      </c>
      <c r="N28" t="s">
        <v>85</v>
      </c>
      <c r="O28" t="s">
        <v>86</v>
      </c>
      <c r="P28" t="s">
        <v>101</v>
      </c>
      <c r="Q28" t="s">
        <v>37</v>
      </c>
    </row>
    <row r="29" spans="1:17" x14ac:dyDescent="0.25">
      <c r="A29" t="s">
        <v>82</v>
      </c>
      <c r="B29" t="s">
        <v>31</v>
      </c>
      <c r="C29" t="str">
        <f t="shared" si="0"/>
        <v>WOZP5_S1</v>
      </c>
      <c r="D29" t="s">
        <v>102</v>
      </c>
      <c r="E29">
        <v>1</v>
      </c>
      <c r="F29" t="s">
        <v>103</v>
      </c>
      <c r="G29" t="s">
        <v>34</v>
      </c>
      <c r="H29" t="s">
        <v>35</v>
      </c>
      <c r="I29" t="s">
        <v>36</v>
      </c>
      <c r="J29">
        <v>1</v>
      </c>
      <c r="K29">
        <v>0</v>
      </c>
      <c r="L29" t="s">
        <v>36</v>
      </c>
      <c r="M29" t="s">
        <v>5</v>
      </c>
      <c r="N29" t="s">
        <v>85</v>
      </c>
      <c r="O29" t="s">
        <v>86</v>
      </c>
      <c r="P29" t="s">
        <v>37</v>
      </c>
      <c r="Q29" t="s">
        <v>37</v>
      </c>
    </row>
    <row r="30" spans="1:17" x14ac:dyDescent="0.25">
      <c r="A30" t="s">
        <v>82</v>
      </c>
      <c r="B30" t="s">
        <v>31</v>
      </c>
      <c r="C30" t="str">
        <f t="shared" si="0"/>
        <v>WOZP5_S2a</v>
      </c>
      <c r="D30" t="s">
        <v>102</v>
      </c>
      <c r="E30" t="s">
        <v>72</v>
      </c>
      <c r="F30" t="s">
        <v>103</v>
      </c>
      <c r="G30" t="s">
        <v>104</v>
      </c>
      <c r="H30" t="s">
        <v>35</v>
      </c>
      <c r="I30" t="s">
        <v>36</v>
      </c>
      <c r="J30">
        <v>1</v>
      </c>
      <c r="K30">
        <v>50</v>
      </c>
      <c r="L30" t="s">
        <v>36</v>
      </c>
      <c r="M30" t="s">
        <v>5</v>
      </c>
      <c r="N30" t="s">
        <v>85</v>
      </c>
      <c r="O30" t="s">
        <v>105</v>
      </c>
      <c r="P30" t="str">
        <f>_xlfn.CONCAT(D30,"_BLOCK_A")</f>
        <v>WOZP5_BLOCK_A</v>
      </c>
      <c r="Q30" t="str">
        <f>_xlfn.CONCAT(D30,"_PATH_A")</f>
        <v>WOZP5_PATH_A</v>
      </c>
    </row>
    <row r="31" spans="1:17" x14ac:dyDescent="0.25">
      <c r="A31" t="s">
        <v>82</v>
      </c>
      <c r="B31" t="s">
        <v>31</v>
      </c>
      <c r="C31" t="str">
        <f t="shared" si="0"/>
        <v>WOZP5_S3a</v>
      </c>
      <c r="D31" t="s">
        <v>102</v>
      </c>
      <c r="E31" t="s">
        <v>40</v>
      </c>
      <c r="F31" t="s">
        <v>103</v>
      </c>
      <c r="G31" t="s">
        <v>49</v>
      </c>
      <c r="H31" t="s">
        <v>35</v>
      </c>
      <c r="I31" t="s">
        <v>36</v>
      </c>
      <c r="J31">
        <v>1</v>
      </c>
      <c r="K31">
        <v>0</v>
      </c>
      <c r="L31" t="s">
        <v>36</v>
      </c>
      <c r="M31" t="s">
        <v>5</v>
      </c>
      <c r="N31" t="s">
        <v>85</v>
      </c>
      <c r="O31" t="s">
        <v>106</v>
      </c>
      <c r="P31" t="str">
        <f>_xlfn.CONCAT(D31,"_BLOCK_A")</f>
        <v>WOZP5_BLOCK_A</v>
      </c>
      <c r="Q31" t="str">
        <f>_xlfn.CONCAT(D31,"_PATH_A")</f>
        <v>WOZP5_PATH_A</v>
      </c>
    </row>
    <row r="32" spans="1:17" x14ac:dyDescent="0.25">
      <c r="A32" t="s">
        <v>82</v>
      </c>
      <c r="B32" t="s">
        <v>31</v>
      </c>
      <c r="C32" t="str">
        <f t="shared" si="0"/>
        <v>WOZP5_S2b</v>
      </c>
      <c r="D32" t="s">
        <v>102</v>
      </c>
      <c r="E32" t="s">
        <v>75</v>
      </c>
      <c r="F32" t="s">
        <v>103</v>
      </c>
      <c r="G32" t="s">
        <v>107</v>
      </c>
      <c r="H32" t="s">
        <v>35</v>
      </c>
      <c r="I32" t="s">
        <v>36</v>
      </c>
      <c r="J32">
        <v>1</v>
      </c>
      <c r="K32">
        <v>25</v>
      </c>
      <c r="L32" t="s">
        <v>36</v>
      </c>
      <c r="M32" t="s">
        <v>5</v>
      </c>
      <c r="N32" t="s">
        <v>85</v>
      </c>
      <c r="O32" t="s">
        <v>105</v>
      </c>
      <c r="P32" t="str">
        <f>_xlfn.CONCAT(D32,"_BLOCK_B")</f>
        <v>WOZP5_BLOCK_B</v>
      </c>
      <c r="Q32" t="str">
        <f>_xlfn.CONCAT(D32,"_PATH_B")</f>
        <v>WOZP5_PATH_B</v>
      </c>
    </row>
    <row r="33" spans="1:17" x14ac:dyDescent="0.25">
      <c r="A33" t="s">
        <v>82</v>
      </c>
      <c r="B33" t="s">
        <v>31</v>
      </c>
      <c r="C33" t="str">
        <f t="shared" si="0"/>
        <v>WOZP5_S3b</v>
      </c>
      <c r="D33" t="s">
        <v>102</v>
      </c>
      <c r="E33" t="s">
        <v>44</v>
      </c>
      <c r="F33" t="s">
        <v>103</v>
      </c>
      <c r="G33" t="s">
        <v>49</v>
      </c>
      <c r="H33" t="s">
        <v>35</v>
      </c>
      <c r="I33" t="s">
        <v>36</v>
      </c>
      <c r="J33">
        <v>1</v>
      </c>
      <c r="K33">
        <v>50</v>
      </c>
      <c r="L33" t="s">
        <v>36</v>
      </c>
      <c r="M33" t="s">
        <v>5</v>
      </c>
      <c r="N33" t="s">
        <v>85</v>
      </c>
      <c r="O33" t="s">
        <v>108</v>
      </c>
      <c r="P33" t="str">
        <f>_xlfn.CONCAT(D33,"_BLOCK_B")</f>
        <v>WOZP5_BLOCK_B</v>
      </c>
      <c r="Q33" t="str">
        <f>_xlfn.CONCAT(D33,"_PATH_B")</f>
        <v>WOZP5_PATH_B</v>
      </c>
    </row>
    <row r="34" spans="1:17" x14ac:dyDescent="0.25">
      <c r="A34" t="s">
        <v>82</v>
      </c>
      <c r="B34" t="s">
        <v>31</v>
      </c>
      <c r="C34" t="str">
        <f t="shared" si="0"/>
        <v>WOZP5_S2c</v>
      </c>
      <c r="D34" t="s">
        <v>102</v>
      </c>
      <c r="E34" t="s">
        <v>78</v>
      </c>
      <c r="F34" t="s">
        <v>103</v>
      </c>
      <c r="G34" t="s">
        <v>109</v>
      </c>
      <c r="H34" t="s">
        <v>35</v>
      </c>
      <c r="I34" t="s">
        <v>36</v>
      </c>
      <c r="J34">
        <v>1</v>
      </c>
      <c r="K34">
        <v>50</v>
      </c>
      <c r="L34" t="s">
        <v>36</v>
      </c>
      <c r="M34" t="s">
        <v>5</v>
      </c>
      <c r="N34" t="s">
        <v>85</v>
      </c>
      <c r="O34" t="s">
        <v>105</v>
      </c>
      <c r="P34" t="str">
        <f>_xlfn.CONCAT(D34,"_BLOCK_C")</f>
        <v>WOZP5_BLOCK_C</v>
      </c>
      <c r="Q34" t="str">
        <f>_xlfn.CONCAT(D34,"_PATH_C")</f>
        <v>WOZP5_PATH_C</v>
      </c>
    </row>
    <row r="35" spans="1:17" x14ac:dyDescent="0.25">
      <c r="A35" t="s">
        <v>82</v>
      </c>
      <c r="B35" t="s">
        <v>31</v>
      </c>
      <c r="C35" t="str">
        <f t="shared" si="0"/>
        <v>WOZP5_S3c</v>
      </c>
      <c r="D35" t="s">
        <v>102</v>
      </c>
      <c r="E35" t="s">
        <v>80</v>
      </c>
      <c r="F35" t="s">
        <v>103</v>
      </c>
      <c r="G35" t="s">
        <v>49</v>
      </c>
      <c r="H35" t="s">
        <v>35</v>
      </c>
      <c r="I35" t="s">
        <v>36</v>
      </c>
      <c r="J35">
        <v>1</v>
      </c>
      <c r="K35">
        <v>100</v>
      </c>
      <c r="L35" t="s">
        <v>36</v>
      </c>
      <c r="M35" t="s">
        <v>5</v>
      </c>
      <c r="N35" t="s">
        <v>85</v>
      </c>
      <c r="O35" t="s">
        <v>110</v>
      </c>
      <c r="P35" t="str">
        <f>_xlfn.CONCAT(D35,"_BLOCK_C")</f>
        <v>WOZP5_BLOCK_C</v>
      </c>
      <c r="Q35" t="str">
        <f>_xlfn.CONCAT(D35,"_PATH_C")</f>
        <v>WOZP5_PATH_C</v>
      </c>
    </row>
    <row r="36" spans="1:17" x14ac:dyDescent="0.25">
      <c r="A36" t="s">
        <v>111</v>
      </c>
      <c r="B36" t="s">
        <v>31</v>
      </c>
      <c r="C36" t="str">
        <f t="shared" si="0"/>
        <v>WOZW1_S1</v>
      </c>
      <c r="D36" t="s">
        <v>112</v>
      </c>
      <c r="E36">
        <v>1</v>
      </c>
      <c r="F36" t="s">
        <v>113</v>
      </c>
      <c r="G36" t="s">
        <v>34</v>
      </c>
      <c r="H36" t="s">
        <v>35</v>
      </c>
      <c r="I36" t="s">
        <v>36</v>
      </c>
      <c r="J36">
        <v>2</v>
      </c>
      <c r="K36">
        <v>0</v>
      </c>
      <c r="L36" t="s">
        <v>36</v>
      </c>
      <c r="M36" t="s">
        <v>5</v>
      </c>
      <c r="N36" t="s">
        <v>85</v>
      </c>
      <c r="O36" t="s">
        <v>86</v>
      </c>
      <c r="P36" t="s">
        <v>114</v>
      </c>
      <c r="Q36" t="s">
        <v>37</v>
      </c>
    </row>
    <row r="37" spans="1:17" x14ac:dyDescent="0.25">
      <c r="A37" t="s">
        <v>111</v>
      </c>
      <c r="B37" t="s">
        <v>31</v>
      </c>
      <c r="C37" t="str">
        <f t="shared" si="0"/>
        <v>WOZW1_S2</v>
      </c>
      <c r="D37" t="s">
        <v>112</v>
      </c>
      <c r="E37">
        <v>2</v>
      </c>
      <c r="F37" t="s">
        <v>113</v>
      </c>
      <c r="G37" t="s">
        <v>49</v>
      </c>
      <c r="H37" t="s">
        <v>35</v>
      </c>
      <c r="I37" t="s">
        <v>36</v>
      </c>
      <c r="J37">
        <v>2</v>
      </c>
      <c r="K37">
        <v>110</v>
      </c>
      <c r="L37" t="s">
        <v>36</v>
      </c>
      <c r="M37" t="s">
        <v>5</v>
      </c>
      <c r="N37" t="s">
        <v>85</v>
      </c>
      <c r="O37" t="s">
        <v>115</v>
      </c>
      <c r="P37" t="s">
        <v>114</v>
      </c>
      <c r="Q37" t="s">
        <v>37</v>
      </c>
    </row>
    <row r="38" spans="1:17" x14ac:dyDescent="0.25">
      <c r="A38" t="s">
        <v>116</v>
      </c>
      <c r="B38" t="s">
        <v>31</v>
      </c>
      <c r="C38" t="str">
        <f t="shared" si="0"/>
        <v>WOP1_S1</v>
      </c>
      <c r="D38" t="s">
        <v>117</v>
      </c>
      <c r="E38">
        <v>1</v>
      </c>
      <c r="F38" t="s">
        <v>118</v>
      </c>
      <c r="G38" t="s">
        <v>49</v>
      </c>
      <c r="H38" t="s">
        <v>35</v>
      </c>
      <c r="I38" t="s">
        <v>36</v>
      </c>
      <c r="J38">
        <v>4</v>
      </c>
      <c r="K38">
        <v>0</v>
      </c>
      <c r="L38" t="s">
        <v>36</v>
      </c>
      <c r="M38" t="s">
        <v>5</v>
      </c>
      <c r="N38" t="s">
        <v>85</v>
      </c>
      <c r="O38" t="s">
        <v>86</v>
      </c>
      <c r="P38" t="s">
        <v>37</v>
      </c>
      <c r="Q38" t="s">
        <v>37</v>
      </c>
    </row>
    <row r="39" spans="1:17" x14ac:dyDescent="0.25">
      <c r="A39" t="s">
        <v>116</v>
      </c>
      <c r="B39" t="s">
        <v>31</v>
      </c>
      <c r="C39" t="str">
        <f t="shared" si="0"/>
        <v>WOP2_S1</v>
      </c>
      <c r="D39" t="s">
        <v>119</v>
      </c>
      <c r="E39">
        <v>1</v>
      </c>
      <c r="F39" t="s">
        <v>120</v>
      </c>
      <c r="G39" t="s">
        <v>49</v>
      </c>
      <c r="H39" t="s">
        <v>35</v>
      </c>
      <c r="I39" t="s">
        <v>36</v>
      </c>
      <c r="J39">
        <v>6</v>
      </c>
      <c r="K39">
        <v>0</v>
      </c>
      <c r="L39" t="s">
        <v>36</v>
      </c>
      <c r="M39" t="s">
        <v>5</v>
      </c>
      <c r="N39" t="s">
        <v>85</v>
      </c>
      <c r="O39" t="s">
        <v>86</v>
      </c>
      <c r="P39" t="s">
        <v>37</v>
      </c>
      <c r="Q39" t="s">
        <v>37</v>
      </c>
    </row>
    <row r="40" spans="1:17" x14ac:dyDescent="0.25">
      <c r="A40" t="s">
        <v>116</v>
      </c>
      <c r="B40" t="s">
        <v>31</v>
      </c>
      <c r="C40" t="str">
        <f t="shared" si="0"/>
        <v>WOP3_S1</v>
      </c>
      <c r="D40" t="s">
        <v>121</v>
      </c>
      <c r="E40">
        <v>1</v>
      </c>
      <c r="F40" t="s">
        <v>122</v>
      </c>
      <c r="G40" t="s">
        <v>49</v>
      </c>
      <c r="H40" t="s">
        <v>35</v>
      </c>
      <c r="I40" t="s">
        <v>36</v>
      </c>
      <c r="J40">
        <v>3</v>
      </c>
      <c r="K40">
        <v>0</v>
      </c>
      <c r="L40" t="s">
        <v>36</v>
      </c>
      <c r="M40" t="s">
        <v>5</v>
      </c>
      <c r="N40" t="s">
        <v>85</v>
      </c>
      <c r="O40" t="s">
        <v>86</v>
      </c>
      <c r="P40" t="s">
        <v>37</v>
      </c>
      <c r="Q40" t="s">
        <v>37</v>
      </c>
    </row>
  </sheetData>
  <conditionalFormatting sqref="C1:C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opLeftCell="B1" workbookViewId="0">
      <selection activeCell="F55" sqref="F55"/>
    </sheetView>
  </sheetViews>
  <sheetFormatPr defaultRowHeight="15" x14ac:dyDescent="0.25"/>
  <cols>
    <col min="1" max="1" width="9.7109375" bestFit="1" customWidth="1"/>
    <col min="2" max="2" width="9.5703125" bestFit="1" customWidth="1"/>
    <col min="3" max="3" width="11" bestFit="1" customWidth="1"/>
    <col min="5" max="5" width="7.85546875" bestFit="1" customWidth="1"/>
    <col min="6" max="6" width="12.5703125" bestFit="1" customWidth="1"/>
    <col min="7" max="7" width="15.42578125" bestFit="1" customWidth="1"/>
    <col min="8" max="8" width="8.42578125" bestFit="1" customWidth="1"/>
    <col min="9" max="9" width="26.42578125" bestFit="1" customWidth="1"/>
    <col min="10" max="10" width="20.140625" bestFit="1" customWidth="1"/>
    <col min="11" max="11" width="10.42578125" bestFit="1" customWidth="1"/>
    <col min="12" max="12" width="10.42578125" customWidth="1"/>
    <col min="13" max="13" width="8.28515625" bestFit="1" customWidth="1"/>
    <col min="14" max="14" width="11" bestFit="1" customWidth="1"/>
    <col min="15" max="15" width="13.140625" bestFit="1" customWidth="1"/>
    <col min="16" max="16" width="7.85546875" bestFit="1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0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25">
      <c r="A2" t="s">
        <v>30</v>
      </c>
      <c r="B2" t="s">
        <v>31</v>
      </c>
      <c r="C2" t="s">
        <v>123</v>
      </c>
      <c r="D2" t="s">
        <v>124</v>
      </c>
      <c r="E2">
        <v>1</v>
      </c>
      <c r="F2" t="s">
        <v>125</v>
      </c>
      <c r="G2" t="s">
        <v>54</v>
      </c>
      <c r="H2" t="s">
        <v>126</v>
      </c>
      <c r="I2" t="s">
        <v>36</v>
      </c>
      <c r="J2">
        <v>2</v>
      </c>
      <c r="K2">
        <v>0</v>
      </c>
      <c r="L2" t="s">
        <v>5</v>
      </c>
      <c r="M2" t="s">
        <v>37</v>
      </c>
      <c r="N2" t="s">
        <v>85</v>
      </c>
      <c r="O2" t="s">
        <v>51</v>
      </c>
      <c r="P2" t="s">
        <v>37</v>
      </c>
    </row>
    <row r="3" spans="1:16" x14ac:dyDescent="0.25">
      <c r="A3" t="s">
        <v>30</v>
      </c>
      <c r="B3" t="s">
        <v>31</v>
      </c>
      <c r="C3" t="s">
        <v>127</v>
      </c>
      <c r="D3" t="s">
        <v>124</v>
      </c>
      <c r="E3">
        <v>2</v>
      </c>
      <c r="F3" t="s">
        <v>125</v>
      </c>
      <c r="G3" t="s">
        <v>49</v>
      </c>
      <c r="H3" t="s">
        <v>126</v>
      </c>
      <c r="I3" t="s">
        <v>36</v>
      </c>
      <c r="J3">
        <v>2</v>
      </c>
      <c r="K3">
        <v>0</v>
      </c>
      <c r="L3" t="s">
        <v>5</v>
      </c>
      <c r="M3" t="s">
        <v>37</v>
      </c>
      <c r="N3" t="s">
        <v>123</v>
      </c>
      <c r="O3" t="s">
        <v>51</v>
      </c>
      <c r="P3" t="s">
        <v>37</v>
      </c>
    </row>
    <row r="4" spans="1:16" x14ac:dyDescent="0.25">
      <c r="A4" t="s">
        <v>30</v>
      </c>
      <c r="B4" t="s">
        <v>31</v>
      </c>
      <c r="C4" t="s">
        <v>128</v>
      </c>
      <c r="D4" t="s">
        <v>129</v>
      </c>
      <c r="E4">
        <v>1</v>
      </c>
      <c r="F4" t="s">
        <v>130</v>
      </c>
      <c r="G4" t="s">
        <v>54</v>
      </c>
      <c r="H4" t="s">
        <v>126</v>
      </c>
      <c r="I4" t="s">
        <v>36</v>
      </c>
      <c r="J4">
        <v>22</v>
      </c>
      <c r="K4">
        <v>0</v>
      </c>
      <c r="L4" t="s">
        <v>5</v>
      </c>
      <c r="M4" t="s">
        <v>131</v>
      </c>
      <c r="N4" t="s">
        <v>132</v>
      </c>
      <c r="O4" t="s">
        <v>133</v>
      </c>
      <c r="P4" t="s">
        <v>37</v>
      </c>
    </row>
    <row r="5" spans="1:16" x14ac:dyDescent="0.25">
      <c r="A5" t="s">
        <v>30</v>
      </c>
      <c r="B5" t="s">
        <v>31</v>
      </c>
      <c r="C5" t="s">
        <v>134</v>
      </c>
      <c r="D5" t="s">
        <v>129</v>
      </c>
      <c r="E5">
        <v>2</v>
      </c>
      <c r="F5" t="s">
        <v>130</v>
      </c>
      <c r="G5" t="s">
        <v>49</v>
      </c>
      <c r="H5" t="s">
        <v>126</v>
      </c>
      <c r="I5" t="s">
        <v>36</v>
      </c>
      <c r="J5">
        <v>22</v>
      </c>
      <c r="K5">
        <v>0</v>
      </c>
      <c r="L5" t="s">
        <v>5</v>
      </c>
      <c r="M5" t="s">
        <v>131</v>
      </c>
      <c r="N5" t="s">
        <v>132</v>
      </c>
      <c r="O5" t="s">
        <v>133</v>
      </c>
      <c r="P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0"/>
  <sheetViews>
    <sheetView topLeftCell="A64" zoomScaleNormal="100" workbookViewId="0">
      <selection activeCell="O81" sqref="E81:O86"/>
    </sheetView>
  </sheetViews>
  <sheetFormatPr defaultRowHeight="15" x14ac:dyDescent="0.25"/>
  <cols>
    <col min="1" max="1" width="21.7109375" bestFit="1" customWidth="1"/>
    <col min="2" max="5" width="21.7109375" customWidth="1"/>
    <col min="6" max="6" width="42.7109375" bestFit="1" customWidth="1"/>
    <col min="7" max="7" width="42.7109375" customWidth="1"/>
    <col min="9" max="9" width="26.42578125" bestFit="1" customWidth="1"/>
    <col min="12" max="12" width="17.5703125" bestFit="1" customWidth="1"/>
    <col min="13" max="13" width="14.7109375" bestFit="1" customWidth="1"/>
    <col min="14" max="14" width="18.7109375" bestFit="1" customWidth="1"/>
    <col min="15" max="16" width="18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0</v>
      </c>
      <c r="M1" t="s">
        <v>135</v>
      </c>
      <c r="N1" t="s">
        <v>27</v>
      </c>
      <c r="O1" t="s">
        <v>28</v>
      </c>
      <c r="P1" t="s">
        <v>29</v>
      </c>
    </row>
    <row r="2" spans="1:16" x14ac:dyDescent="0.25">
      <c r="A2" t="s">
        <v>30</v>
      </c>
      <c r="B2" t="s">
        <v>31</v>
      </c>
      <c r="C2" t="str">
        <f t="shared" ref="C2:C65" si="0">_xlfn.CONCAT(D2,"_S",E2)</f>
        <v>VF1_S1</v>
      </c>
      <c r="D2" t="s">
        <v>136</v>
      </c>
      <c r="E2">
        <v>1</v>
      </c>
      <c r="F2" t="s">
        <v>137</v>
      </c>
      <c r="G2" t="s">
        <v>54</v>
      </c>
      <c r="H2" t="s">
        <v>138</v>
      </c>
      <c r="I2" t="s">
        <v>36</v>
      </c>
      <c r="J2">
        <v>5</v>
      </c>
      <c r="K2">
        <v>0</v>
      </c>
      <c r="L2" t="s">
        <v>5</v>
      </c>
      <c r="M2" t="s">
        <v>37</v>
      </c>
      <c r="N2" t="s">
        <v>127</v>
      </c>
      <c r="O2" t="s">
        <v>139</v>
      </c>
      <c r="P2" t="s">
        <v>37</v>
      </c>
    </row>
    <row r="3" spans="1:16" x14ac:dyDescent="0.25">
      <c r="A3" t="s">
        <v>30</v>
      </c>
      <c r="B3" t="s">
        <v>31</v>
      </c>
      <c r="C3" t="str">
        <f t="shared" si="0"/>
        <v>VF1_S2</v>
      </c>
      <c r="D3" t="s">
        <v>136</v>
      </c>
      <c r="E3">
        <v>2</v>
      </c>
      <c r="F3" t="s">
        <v>137</v>
      </c>
      <c r="G3" t="s">
        <v>49</v>
      </c>
      <c r="H3" t="s">
        <v>138</v>
      </c>
      <c r="I3" t="s">
        <v>36</v>
      </c>
      <c r="J3">
        <v>5</v>
      </c>
      <c r="K3">
        <v>100</v>
      </c>
      <c r="L3" t="s">
        <v>5</v>
      </c>
      <c r="M3" t="s">
        <v>37</v>
      </c>
      <c r="N3" t="s">
        <v>140</v>
      </c>
      <c r="O3" t="s">
        <v>139</v>
      </c>
      <c r="P3" t="s">
        <v>37</v>
      </c>
    </row>
    <row r="4" spans="1:16" x14ac:dyDescent="0.25">
      <c r="A4" t="s">
        <v>30</v>
      </c>
      <c r="B4" t="s">
        <v>31</v>
      </c>
      <c r="C4" t="str">
        <f t="shared" si="0"/>
        <v>VF2_S1</v>
      </c>
      <c r="D4" t="s">
        <v>141</v>
      </c>
      <c r="E4">
        <v>1</v>
      </c>
      <c r="F4" t="s">
        <v>142</v>
      </c>
      <c r="G4" t="s">
        <v>54</v>
      </c>
      <c r="H4" t="s">
        <v>138</v>
      </c>
      <c r="I4" t="s">
        <v>36</v>
      </c>
      <c r="J4">
        <v>6</v>
      </c>
      <c r="K4">
        <v>0</v>
      </c>
      <c r="L4" t="s">
        <v>5</v>
      </c>
      <c r="M4" t="s">
        <v>37</v>
      </c>
      <c r="N4" t="s">
        <v>143</v>
      </c>
      <c r="O4" t="s">
        <v>144</v>
      </c>
      <c r="P4" t="s">
        <v>37</v>
      </c>
    </row>
    <row r="5" spans="1:16" x14ac:dyDescent="0.25">
      <c r="A5" t="s">
        <v>30</v>
      </c>
      <c r="B5" t="s">
        <v>31</v>
      </c>
      <c r="C5" t="str">
        <f t="shared" si="0"/>
        <v>VF2_S2a</v>
      </c>
      <c r="D5" t="s">
        <v>141</v>
      </c>
      <c r="E5" t="s">
        <v>72</v>
      </c>
      <c r="F5" t="s">
        <v>142</v>
      </c>
      <c r="G5" t="s">
        <v>145</v>
      </c>
      <c r="H5" t="s">
        <v>138</v>
      </c>
      <c r="I5" t="s">
        <v>36</v>
      </c>
      <c r="J5">
        <v>6</v>
      </c>
      <c r="K5">
        <v>0</v>
      </c>
      <c r="L5" t="s">
        <v>5</v>
      </c>
      <c r="M5" t="s">
        <v>37</v>
      </c>
      <c r="N5" t="s">
        <v>146</v>
      </c>
      <c r="O5" t="s">
        <v>144</v>
      </c>
      <c r="P5" t="s">
        <v>147</v>
      </c>
    </row>
    <row r="6" spans="1:16" x14ac:dyDescent="0.25">
      <c r="A6" t="s">
        <v>30</v>
      </c>
      <c r="B6" t="s">
        <v>31</v>
      </c>
      <c r="C6" t="str">
        <f t="shared" si="0"/>
        <v>VF2_S2b</v>
      </c>
      <c r="D6" t="s">
        <v>141</v>
      </c>
      <c r="E6" t="s">
        <v>75</v>
      </c>
      <c r="F6" t="s">
        <v>142</v>
      </c>
      <c r="G6" t="s">
        <v>148</v>
      </c>
      <c r="H6" t="s">
        <v>138</v>
      </c>
      <c r="I6" t="s">
        <v>36</v>
      </c>
      <c r="J6">
        <v>6</v>
      </c>
      <c r="K6">
        <v>1</v>
      </c>
      <c r="L6" t="s">
        <v>5</v>
      </c>
      <c r="M6" t="s">
        <v>37</v>
      </c>
      <c r="N6" t="s">
        <v>146</v>
      </c>
      <c r="O6" t="s">
        <v>144</v>
      </c>
      <c r="P6" t="s">
        <v>149</v>
      </c>
    </row>
    <row r="7" spans="1:16" x14ac:dyDescent="0.25">
      <c r="A7" t="s">
        <v>30</v>
      </c>
      <c r="B7" t="s">
        <v>31</v>
      </c>
      <c r="C7" t="str">
        <f t="shared" si="0"/>
        <v>VF2_S3</v>
      </c>
      <c r="D7" t="s">
        <v>141</v>
      </c>
      <c r="E7">
        <v>3</v>
      </c>
      <c r="F7" t="s">
        <v>142</v>
      </c>
      <c r="G7" t="s">
        <v>49</v>
      </c>
      <c r="H7" t="s">
        <v>138</v>
      </c>
      <c r="I7" t="s">
        <v>36</v>
      </c>
      <c r="J7">
        <v>6</v>
      </c>
      <c r="K7">
        <v>0</v>
      </c>
      <c r="L7" t="s">
        <v>5</v>
      </c>
      <c r="M7" t="s">
        <v>37</v>
      </c>
      <c r="N7" t="s">
        <v>150</v>
      </c>
      <c r="O7" t="s">
        <v>144</v>
      </c>
      <c r="P7" t="s">
        <v>37</v>
      </c>
    </row>
    <row r="8" spans="1:16" x14ac:dyDescent="0.25">
      <c r="A8" t="s">
        <v>30</v>
      </c>
      <c r="B8" t="s">
        <v>31</v>
      </c>
      <c r="C8" t="str">
        <f t="shared" si="0"/>
        <v>VF3_S1</v>
      </c>
      <c r="D8" t="s">
        <v>151</v>
      </c>
      <c r="E8">
        <v>1</v>
      </c>
      <c r="F8" t="s">
        <v>152</v>
      </c>
      <c r="G8" t="s">
        <v>54</v>
      </c>
      <c r="H8" t="s">
        <v>138</v>
      </c>
      <c r="I8" t="s">
        <v>36</v>
      </c>
      <c r="J8">
        <v>6</v>
      </c>
      <c r="K8">
        <v>0</v>
      </c>
      <c r="L8" t="s">
        <v>5</v>
      </c>
      <c r="M8" t="s">
        <v>37</v>
      </c>
      <c r="N8" t="s">
        <v>153</v>
      </c>
      <c r="O8" t="s">
        <v>144</v>
      </c>
      <c r="P8" t="s">
        <v>37</v>
      </c>
    </row>
    <row r="9" spans="1:16" x14ac:dyDescent="0.25">
      <c r="A9" t="s">
        <v>30</v>
      </c>
      <c r="B9" t="s">
        <v>31</v>
      </c>
      <c r="C9" t="str">
        <f t="shared" si="0"/>
        <v>VF3_S2</v>
      </c>
      <c r="D9" t="s">
        <v>151</v>
      </c>
      <c r="E9">
        <v>2</v>
      </c>
      <c r="F9" t="s">
        <v>152</v>
      </c>
      <c r="G9" t="s">
        <v>154</v>
      </c>
      <c r="H9" t="s">
        <v>138</v>
      </c>
      <c r="I9" t="s">
        <v>36</v>
      </c>
      <c r="J9">
        <v>6</v>
      </c>
      <c r="K9">
        <v>100</v>
      </c>
      <c r="L9" t="s">
        <v>5</v>
      </c>
      <c r="M9" t="s">
        <v>37</v>
      </c>
      <c r="N9" t="s">
        <v>155</v>
      </c>
      <c r="O9" t="s">
        <v>144</v>
      </c>
      <c r="P9" t="s">
        <v>37</v>
      </c>
    </row>
    <row r="10" spans="1:16" x14ac:dyDescent="0.25">
      <c r="A10" t="s">
        <v>30</v>
      </c>
      <c r="B10" t="s">
        <v>31</v>
      </c>
      <c r="C10" t="str">
        <f t="shared" si="0"/>
        <v>VF3_S3</v>
      </c>
      <c r="D10" t="s">
        <v>151</v>
      </c>
      <c r="E10">
        <v>3</v>
      </c>
      <c r="F10" t="s">
        <v>152</v>
      </c>
      <c r="G10" t="s">
        <v>156</v>
      </c>
      <c r="H10" t="s">
        <v>138</v>
      </c>
      <c r="I10" t="s">
        <v>36</v>
      </c>
      <c r="J10">
        <v>6</v>
      </c>
      <c r="K10">
        <v>150</v>
      </c>
      <c r="L10" t="s">
        <v>5</v>
      </c>
      <c r="M10" t="s">
        <v>37</v>
      </c>
      <c r="N10" t="s">
        <v>157</v>
      </c>
      <c r="O10" t="s">
        <v>144</v>
      </c>
      <c r="P10" t="s">
        <v>37</v>
      </c>
    </row>
    <row r="11" spans="1:16" x14ac:dyDescent="0.25">
      <c r="A11" t="s">
        <v>30</v>
      </c>
      <c r="B11" t="s">
        <v>31</v>
      </c>
      <c r="C11" t="str">
        <f t="shared" si="0"/>
        <v>VF3_S4a</v>
      </c>
      <c r="D11" t="s">
        <v>151</v>
      </c>
      <c r="E11" t="s">
        <v>158</v>
      </c>
      <c r="F11" t="s">
        <v>152</v>
      </c>
      <c r="G11" t="s">
        <v>159</v>
      </c>
      <c r="H11" t="s">
        <v>138</v>
      </c>
      <c r="I11" t="s">
        <v>36</v>
      </c>
      <c r="J11">
        <v>6</v>
      </c>
      <c r="K11">
        <v>40</v>
      </c>
      <c r="L11" t="s">
        <v>5</v>
      </c>
      <c r="M11" t="s">
        <v>37</v>
      </c>
      <c r="N11" t="s">
        <v>160</v>
      </c>
      <c r="O11" t="s">
        <v>161</v>
      </c>
      <c r="P11" t="s">
        <v>162</v>
      </c>
    </row>
    <row r="12" spans="1:16" x14ac:dyDescent="0.25">
      <c r="A12" t="s">
        <v>30</v>
      </c>
      <c r="B12" t="s">
        <v>31</v>
      </c>
      <c r="C12" t="str">
        <f t="shared" si="0"/>
        <v>VF3_S4b</v>
      </c>
      <c r="D12" t="s">
        <v>151</v>
      </c>
      <c r="E12" t="s">
        <v>163</v>
      </c>
      <c r="F12" t="s">
        <v>152</v>
      </c>
      <c r="G12" t="s">
        <v>164</v>
      </c>
      <c r="H12" t="s">
        <v>138</v>
      </c>
      <c r="I12" t="s">
        <v>36</v>
      </c>
      <c r="J12">
        <v>6</v>
      </c>
      <c r="K12">
        <v>0</v>
      </c>
      <c r="L12" t="s">
        <v>5</v>
      </c>
      <c r="M12" t="s">
        <v>37</v>
      </c>
      <c r="N12" t="s">
        <v>160</v>
      </c>
      <c r="O12" t="s">
        <v>161</v>
      </c>
      <c r="P12" t="s">
        <v>165</v>
      </c>
    </row>
    <row r="13" spans="1:16" x14ac:dyDescent="0.25">
      <c r="A13" t="s">
        <v>30</v>
      </c>
      <c r="B13" t="s">
        <v>31</v>
      </c>
      <c r="C13" t="str">
        <f t="shared" si="0"/>
        <v>VF3_S5</v>
      </c>
      <c r="D13" t="s">
        <v>151</v>
      </c>
      <c r="E13">
        <v>5</v>
      </c>
      <c r="F13" t="s">
        <v>152</v>
      </c>
      <c r="G13" t="s">
        <v>166</v>
      </c>
      <c r="H13" t="s">
        <v>138</v>
      </c>
      <c r="I13" t="s">
        <v>36</v>
      </c>
      <c r="J13">
        <v>6</v>
      </c>
      <c r="K13">
        <v>100</v>
      </c>
      <c r="L13" t="s">
        <v>5</v>
      </c>
      <c r="M13" t="s">
        <v>37</v>
      </c>
      <c r="N13" t="s">
        <v>167</v>
      </c>
      <c r="O13" t="s">
        <v>161</v>
      </c>
      <c r="P13" t="s">
        <v>37</v>
      </c>
    </row>
    <row r="14" spans="1:16" x14ac:dyDescent="0.25">
      <c r="A14" t="s">
        <v>30</v>
      </c>
      <c r="B14" t="s">
        <v>31</v>
      </c>
      <c r="C14" t="str">
        <f t="shared" si="0"/>
        <v>VF3_S6</v>
      </c>
      <c r="D14" t="s">
        <v>151</v>
      </c>
      <c r="E14">
        <v>6</v>
      </c>
      <c r="F14" t="s">
        <v>152</v>
      </c>
      <c r="G14" t="s">
        <v>168</v>
      </c>
      <c r="H14" t="s">
        <v>138</v>
      </c>
      <c r="I14" t="s">
        <v>36</v>
      </c>
      <c r="J14">
        <v>6</v>
      </c>
      <c r="K14">
        <v>50</v>
      </c>
      <c r="L14" t="s">
        <v>5</v>
      </c>
      <c r="M14" t="s">
        <v>37</v>
      </c>
      <c r="N14" t="s">
        <v>169</v>
      </c>
      <c r="O14" t="s">
        <v>170</v>
      </c>
      <c r="P14" t="s">
        <v>37</v>
      </c>
    </row>
    <row r="15" spans="1:16" x14ac:dyDescent="0.25">
      <c r="A15" t="s">
        <v>30</v>
      </c>
      <c r="B15" t="s">
        <v>31</v>
      </c>
      <c r="C15" t="str">
        <f t="shared" si="0"/>
        <v>VF3_S7a</v>
      </c>
      <c r="D15" t="s">
        <v>151</v>
      </c>
      <c r="E15" t="s">
        <v>171</v>
      </c>
      <c r="F15" t="s">
        <v>152</v>
      </c>
      <c r="G15" t="s">
        <v>172</v>
      </c>
      <c r="H15" t="s">
        <v>138</v>
      </c>
      <c r="I15" t="s">
        <v>36</v>
      </c>
      <c r="J15">
        <v>6</v>
      </c>
      <c r="K15">
        <v>150</v>
      </c>
      <c r="L15" t="s">
        <v>5</v>
      </c>
      <c r="M15" t="s">
        <v>37</v>
      </c>
      <c r="N15" t="s">
        <v>173</v>
      </c>
      <c r="O15" t="s">
        <v>170</v>
      </c>
      <c r="P15" t="s">
        <v>162</v>
      </c>
    </row>
    <row r="16" spans="1:16" x14ac:dyDescent="0.25">
      <c r="A16" t="s">
        <v>30</v>
      </c>
      <c r="B16" t="s">
        <v>31</v>
      </c>
      <c r="C16" t="str">
        <f t="shared" si="0"/>
        <v>VF3_S7b</v>
      </c>
      <c r="D16" t="s">
        <v>151</v>
      </c>
      <c r="E16" t="s">
        <v>174</v>
      </c>
      <c r="F16" t="s">
        <v>152</v>
      </c>
      <c r="G16" t="s">
        <v>175</v>
      </c>
      <c r="H16" t="s">
        <v>138</v>
      </c>
      <c r="I16" t="s">
        <v>36</v>
      </c>
      <c r="J16">
        <v>6</v>
      </c>
      <c r="K16">
        <v>100</v>
      </c>
      <c r="L16" t="s">
        <v>5</v>
      </c>
      <c r="M16" t="s">
        <v>37</v>
      </c>
      <c r="N16" t="s">
        <v>173</v>
      </c>
      <c r="O16" t="s">
        <v>170</v>
      </c>
      <c r="P16" t="s">
        <v>165</v>
      </c>
    </row>
    <row r="17" spans="1:16" x14ac:dyDescent="0.25">
      <c r="A17" t="s">
        <v>30</v>
      </c>
      <c r="B17" t="s">
        <v>31</v>
      </c>
      <c r="C17" t="str">
        <f t="shared" si="0"/>
        <v>VF3_S8</v>
      </c>
      <c r="D17" t="s">
        <v>151</v>
      </c>
      <c r="E17">
        <v>8</v>
      </c>
      <c r="F17" t="s">
        <v>152</v>
      </c>
      <c r="G17" t="s">
        <v>176</v>
      </c>
      <c r="H17" t="s">
        <v>138</v>
      </c>
      <c r="I17" t="s">
        <v>36</v>
      </c>
      <c r="J17">
        <v>6</v>
      </c>
      <c r="K17">
        <v>300</v>
      </c>
      <c r="L17" t="s">
        <v>5</v>
      </c>
      <c r="M17" t="s">
        <v>37</v>
      </c>
      <c r="N17" t="s">
        <v>177</v>
      </c>
      <c r="O17" t="s">
        <v>170</v>
      </c>
      <c r="P17" t="s">
        <v>37</v>
      </c>
    </row>
    <row r="18" spans="1:16" x14ac:dyDescent="0.25">
      <c r="A18" t="s">
        <v>30</v>
      </c>
      <c r="B18" t="s">
        <v>31</v>
      </c>
      <c r="C18" t="str">
        <f t="shared" si="0"/>
        <v>VF3_S9</v>
      </c>
      <c r="D18" t="s">
        <v>151</v>
      </c>
      <c r="E18">
        <v>9</v>
      </c>
      <c r="F18" t="s">
        <v>152</v>
      </c>
      <c r="G18" t="s">
        <v>178</v>
      </c>
      <c r="H18" t="s">
        <v>138</v>
      </c>
      <c r="I18" t="s">
        <v>36</v>
      </c>
      <c r="J18">
        <v>6</v>
      </c>
      <c r="K18">
        <v>150</v>
      </c>
      <c r="L18" t="s">
        <v>5</v>
      </c>
      <c r="M18" t="s">
        <v>37</v>
      </c>
      <c r="N18" t="s">
        <v>179</v>
      </c>
      <c r="O18" t="s">
        <v>37</v>
      </c>
      <c r="P18" t="s">
        <v>37</v>
      </c>
    </row>
    <row r="19" spans="1:16" x14ac:dyDescent="0.25">
      <c r="A19" t="s">
        <v>30</v>
      </c>
      <c r="B19" t="s">
        <v>31</v>
      </c>
      <c r="C19" t="str">
        <f t="shared" si="0"/>
        <v>VF3_S10</v>
      </c>
      <c r="D19" t="s">
        <v>151</v>
      </c>
      <c r="E19">
        <v>10</v>
      </c>
      <c r="F19" t="s">
        <v>152</v>
      </c>
      <c r="G19" t="s">
        <v>180</v>
      </c>
      <c r="H19" t="s">
        <v>138</v>
      </c>
      <c r="I19" t="s">
        <v>36</v>
      </c>
      <c r="J19">
        <v>6</v>
      </c>
      <c r="K19">
        <v>300</v>
      </c>
      <c r="L19" t="s">
        <v>5</v>
      </c>
      <c r="M19" t="s">
        <v>37</v>
      </c>
      <c r="N19" t="s">
        <v>181</v>
      </c>
      <c r="O19" t="s">
        <v>37</v>
      </c>
      <c r="P19" t="s">
        <v>37</v>
      </c>
    </row>
    <row r="20" spans="1:16" x14ac:dyDescent="0.25">
      <c r="A20" t="s">
        <v>30</v>
      </c>
      <c r="B20" t="s">
        <v>31</v>
      </c>
      <c r="C20" t="str">
        <f t="shared" si="0"/>
        <v>VF3_S11</v>
      </c>
      <c r="D20" t="s">
        <v>151</v>
      </c>
      <c r="E20">
        <v>11</v>
      </c>
      <c r="F20" t="s">
        <v>152</v>
      </c>
      <c r="G20" t="s">
        <v>49</v>
      </c>
      <c r="H20" t="s">
        <v>138</v>
      </c>
      <c r="I20" t="s">
        <v>36</v>
      </c>
      <c r="J20">
        <v>6</v>
      </c>
      <c r="K20">
        <v>200</v>
      </c>
      <c r="L20" t="s">
        <v>5</v>
      </c>
      <c r="M20" t="s">
        <v>37</v>
      </c>
      <c r="N20" t="s">
        <v>182</v>
      </c>
      <c r="O20" t="s">
        <v>37</v>
      </c>
      <c r="P20" t="s">
        <v>37</v>
      </c>
    </row>
    <row r="21" spans="1:16" x14ac:dyDescent="0.25">
      <c r="A21" t="s">
        <v>30</v>
      </c>
      <c r="B21" t="s">
        <v>31</v>
      </c>
      <c r="C21" t="str">
        <f t="shared" si="0"/>
        <v>VF4_S1</v>
      </c>
      <c r="D21" t="s">
        <v>183</v>
      </c>
      <c r="E21">
        <v>1</v>
      </c>
      <c r="F21" t="s">
        <v>184</v>
      </c>
      <c r="G21" t="s">
        <v>54</v>
      </c>
      <c r="H21" t="s">
        <v>138</v>
      </c>
      <c r="I21" t="s">
        <v>36</v>
      </c>
      <c r="J21">
        <v>5</v>
      </c>
      <c r="K21">
        <v>0</v>
      </c>
      <c r="L21" t="s">
        <v>5</v>
      </c>
      <c r="M21" t="s">
        <v>37</v>
      </c>
      <c r="N21" t="s">
        <v>185</v>
      </c>
      <c r="O21" t="s">
        <v>186</v>
      </c>
      <c r="P21" t="s">
        <v>37</v>
      </c>
    </row>
    <row r="22" spans="1:16" x14ac:dyDescent="0.25">
      <c r="A22" t="s">
        <v>30</v>
      </c>
      <c r="B22" t="s">
        <v>31</v>
      </c>
      <c r="C22" t="str">
        <f t="shared" si="0"/>
        <v>VF4_S2</v>
      </c>
      <c r="D22" t="s">
        <v>183</v>
      </c>
      <c r="E22">
        <v>2</v>
      </c>
      <c r="F22" t="s">
        <v>184</v>
      </c>
      <c r="G22" t="s">
        <v>49</v>
      </c>
      <c r="H22" t="s">
        <v>138</v>
      </c>
      <c r="I22" t="s">
        <v>36</v>
      </c>
      <c r="J22">
        <v>5</v>
      </c>
      <c r="K22">
        <v>0</v>
      </c>
      <c r="L22" t="s">
        <v>5</v>
      </c>
      <c r="M22" t="s">
        <v>37</v>
      </c>
      <c r="N22" t="s">
        <v>187</v>
      </c>
      <c r="O22" t="s">
        <v>186</v>
      </c>
      <c r="P22" t="s">
        <v>37</v>
      </c>
    </row>
    <row r="23" spans="1:16" x14ac:dyDescent="0.25">
      <c r="A23" t="s">
        <v>30</v>
      </c>
      <c r="B23" t="s">
        <v>31</v>
      </c>
      <c r="C23" t="str">
        <f t="shared" si="0"/>
        <v>VF5_S1</v>
      </c>
      <c r="D23" t="s">
        <v>188</v>
      </c>
      <c r="E23">
        <v>1</v>
      </c>
      <c r="F23" t="s">
        <v>189</v>
      </c>
      <c r="G23" t="s">
        <v>54</v>
      </c>
      <c r="H23" t="s">
        <v>138</v>
      </c>
      <c r="I23" t="s">
        <v>36</v>
      </c>
      <c r="J23">
        <v>5</v>
      </c>
      <c r="K23">
        <v>0</v>
      </c>
      <c r="L23" t="s">
        <v>5</v>
      </c>
      <c r="M23" t="s">
        <v>37</v>
      </c>
      <c r="N23" t="s">
        <v>190</v>
      </c>
      <c r="O23" t="s">
        <v>191</v>
      </c>
      <c r="P23" t="s">
        <v>37</v>
      </c>
    </row>
    <row r="24" spans="1:16" x14ac:dyDescent="0.25">
      <c r="A24" t="s">
        <v>30</v>
      </c>
      <c r="B24" t="s">
        <v>31</v>
      </c>
      <c r="C24" t="str">
        <f t="shared" si="0"/>
        <v>VF5_S2</v>
      </c>
      <c r="D24" t="s">
        <v>188</v>
      </c>
      <c r="E24">
        <v>2</v>
      </c>
      <c r="F24" t="s">
        <v>189</v>
      </c>
      <c r="G24" t="s">
        <v>49</v>
      </c>
      <c r="H24" t="s">
        <v>138</v>
      </c>
      <c r="I24" t="s">
        <v>36</v>
      </c>
      <c r="J24">
        <v>5</v>
      </c>
      <c r="K24">
        <v>0</v>
      </c>
      <c r="L24" t="s">
        <v>5</v>
      </c>
      <c r="M24" t="s">
        <v>37</v>
      </c>
      <c r="N24" t="s">
        <v>192</v>
      </c>
      <c r="O24" t="s">
        <v>191</v>
      </c>
      <c r="P24" t="s">
        <v>37</v>
      </c>
    </row>
    <row r="25" spans="1:16" x14ac:dyDescent="0.25">
      <c r="A25" t="s">
        <v>30</v>
      </c>
      <c r="B25" t="s">
        <v>31</v>
      </c>
      <c r="C25" t="str">
        <f t="shared" si="0"/>
        <v>VF6_S1</v>
      </c>
      <c r="D25" t="s">
        <v>193</v>
      </c>
      <c r="E25">
        <v>1</v>
      </c>
      <c r="F25" t="s">
        <v>194</v>
      </c>
      <c r="G25" t="s">
        <v>54</v>
      </c>
      <c r="H25" t="s">
        <v>138</v>
      </c>
      <c r="I25" t="s">
        <v>36</v>
      </c>
      <c r="J25">
        <v>5</v>
      </c>
      <c r="K25">
        <v>0</v>
      </c>
      <c r="L25" t="s">
        <v>5</v>
      </c>
      <c r="M25" t="s">
        <v>37</v>
      </c>
      <c r="N25" t="s">
        <v>195</v>
      </c>
      <c r="O25" t="s">
        <v>196</v>
      </c>
      <c r="P25" t="s">
        <v>37</v>
      </c>
    </row>
    <row r="26" spans="1:16" x14ac:dyDescent="0.25">
      <c r="A26" t="s">
        <v>30</v>
      </c>
      <c r="B26" t="s">
        <v>31</v>
      </c>
      <c r="C26" t="str">
        <f t="shared" si="0"/>
        <v>VF6_S2</v>
      </c>
      <c r="D26" t="s">
        <v>193</v>
      </c>
      <c r="E26">
        <v>2</v>
      </c>
      <c r="F26" t="s">
        <v>194</v>
      </c>
      <c r="G26" t="s">
        <v>49</v>
      </c>
      <c r="H26" t="s">
        <v>138</v>
      </c>
      <c r="I26" t="s">
        <v>36</v>
      </c>
      <c r="J26">
        <v>5</v>
      </c>
      <c r="K26">
        <v>0</v>
      </c>
      <c r="L26" t="s">
        <v>5</v>
      </c>
      <c r="M26" t="s">
        <v>37</v>
      </c>
      <c r="N26" t="s">
        <v>197</v>
      </c>
      <c r="O26" t="s">
        <v>196</v>
      </c>
      <c r="P26" t="s">
        <v>37</v>
      </c>
    </row>
    <row r="27" spans="1:16" x14ac:dyDescent="0.25">
      <c r="A27" t="s">
        <v>30</v>
      </c>
      <c r="B27" t="s">
        <v>31</v>
      </c>
      <c r="C27" t="str">
        <f t="shared" si="0"/>
        <v>VF7_S1</v>
      </c>
      <c r="D27" t="s">
        <v>198</v>
      </c>
      <c r="E27">
        <v>1</v>
      </c>
      <c r="F27" t="s">
        <v>199</v>
      </c>
      <c r="G27" t="s">
        <v>54</v>
      </c>
      <c r="H27" t="s">
        <v>138</v>
      </c>
      <c r="I27" t="s">
        <v>36</v>
      </c>
      <c r="J27">
        <v>5</v>
      </c>
      <c r="K27">
        <v>0</v>
      </c>
      <c r="L27" t="s">
        <v>5</v>
      </c>
      <c r="M27" t="s">
        <v>37</v>
      </c>
      <c r="N27" t="s">
        <v>143</v>
      </c>
      <c r="O27" t="s">
        <v>200</v>
      </c>
      <c r="P27" t="s">
        <v>37</v>
      </c>
    </row>
    <row r="28" spans="1:16" x14ac:dyDescent="0.25">
      <c r="A28" t="s">
        <v>30</v>
      </c>
      <c r="B28" t="s">
        <v>31</v>
      </c>
      <c r="C28" t="str">
        <f t="shared" si="0"/>
        <v>VF7_S2a</v>
      </c>
      <c r="D28" t="s">
        <v>198</v>
      </c>
      <c r="E28" t="s">
        <v>72</v>
      </c>
      <c r="F28" t="s">
        <v>199</v>
      </c>
      <c r="G28" t="s">
        <v>201</v>
      </c>
      <c r="H28" t="s">
        <v>138</v>
      </c>
      <c r="I28" t="s">
        <v>36</v>
      </c>
      <c r="J28">
        <v>5</v>
      </c>
      <c r="K28">
        <v>40</v>
      </c>
      <c r="L28" t="s">
        <v>5</v>
      </c>
      <c r="M28" t="s">
        <v>37</v>
      </c>
      <c r="N28" t="s">
        <v>202</v>
      </c>
      <c r="O28" t="s">
        <v>200</v>
      </c>
      <c r="P28" t="s">
        <v>203</v>
      </c>
    </row>
    <row r="29" spans="1:16" x14ac:dyDescent="0.25">
      <c r="A29" t="s">
        <v>30</v>
      </c>
      <c r="B29" t="s">
        <v>31</v>
      </c>
      <c r="C29" t="str">
        <f t="shared" si="0"/>
        <v>VF7_S2b</v>
      </c>
      <c r="D29" t="s">
        <v>198</v>
      </c>
      <c r="E29" t="s">
        <v>75</v>
      </c>
      <c r="F29" t="s">
        <v>199</v>
      </c>
      <c r="G29" t="s">
        <v>204</v>
      </c>
      <c r="H29" t="s">
        <v>138</v>
      </c>
      <c r="I29" t="s">
        <v>36</v>
      </c>
      <c r="J29">
        <v>5</v>
      </c>
      <c r="K29">
        <v>5</v>
      </c>
      <c r="L29" t="s">
        <v>5</v>
      </c>
      <c r="M29" t="s">
        <v>37</v>
      </c>
      <c r="N29" t="s">
        <v>202</v>
      </c>
      <c r="O29" t="s">
        <v>200</v>
      </c>
      <c r="P29" t="s">
        <v>205</v>
      </c>
    </row>
    <row r="30" spans="1:16" x14ac:dyDescent="0.25">
      <c r="A30" t="s">
        <v>30</v>
      </c>
      <c r="B30" t="s">
        <v>31</v>
      </c>
      <c r="C30" t="str">
        <f t="shared" si="0"/>
        <v>VF7_S2c</v>
      </c>
      <c r="D30" t="s">
        <v>198</v>
      </c>
      <c r="E30" t="s">
        <v>78</v>
      </c>
      <c r="F30" t="s">
        <v>199</v>
      </c>
      <c r="G30" t="s">
        <v>206</v>
      </c>
      <c r="H30" t="s">
        <v>138</v>
      </c>
      <c r="I30" t="s">
        <v>36</v>
      </c>
      <c r="J30">
        <v>5</v>
      </c>
      <c r="K30">
        <v>0</v>
      </c>
      <c r="L30" t="s">
        <v>5</v>
      </c>
      <c r="M30" t="s">
        <v>37</v>
      </c>
      <c r="N30" t="s">
        <v>202</v>
      </c>
      <c r="O30" t="s">
        <v>200</v>
      </c>
      <c r="P30" t="s">
        <v>207</v>
      </c>
    </row>
    <row r="31" spans="1:16" x14ac:dyDescent="0.25">
      <c r="A31" t="s">
        <v>30</v>
      </c>
      <c r="B31" t="s">
        <v>31</v>
      </c>
      <c r="C31" t="str">
        <f t="shared" si="0"/>
        <v>VF7_S3</v>
      </c>
      <c r="D31" t="s">
        <v>198</v>
      </c>
      <c r="E31">
        <v>3</v>
      </c>
      <c r="F31" t="s">
        <v>199</v>
      </c>
      <c r="G31" t="s">
        <v>49</v>
      </c>
      <c r="H31" t="s">
        <v>138</v>
      </c>
      <c r="I31" t="s">
        <v>36</v>
      </c>
      <c r="J31">
        <v>5</v>
      </c>
      <c r="K31">
        <v>100</v>
      </c>
      <c r="L31" t="s">
        <v>5</v>
      </c>
      <c r="M31" t="s">
        <v>37</v>
      </c>
      <c r="N31" t="s">
        <v>208</v>
      </c>
      <c r="O31" t="s">
        <v>37</v>
      </c>
      <c r="P31" t="s">
        <v>37</v>
      </c>
    </row>
    <row r="32" spans="1:16" x14ac:dyDescent="0.25">
      <c r="A32" t="s">
        <v>30</v>
      </c>
      <c r="B32" t="s">
        <v>31</v>
      </c>
      <c r="C32" t="str">
        <f t="shared" si="0"/>
        <v>VF8_S1</v>
      </c>
      <c r="D32" t="s">
        <v>209</v>
      </c>
      <c r="E32">
        <v>1</v>
      </c>
      <c r="F32" t="s">
        <v>210</v>
      </c>
      <c r="G32" t="s">
        <v>54</v>
      </c>
      <c r="H32" t="s">
        <v>138</v>
      </c>
      <c r="I32" t="s">
        <v>36</v>
      </c>
      <c r="J32">
        <v>6</v>
      </c>
      <c r="K32">
        <v>0</v>
      </c>
      <c r="L32" t="s">
        <v>5</v>
      </c>
      <c r="M32" t="s">
        <v>37</v>
      </c>
      <c r="N32" t="s">
        <v>211</v>
      </c>
      <c r="O32" t="s">
        <v>212</v>
      </c>
      <c r="P32" t="s">
        <v>37</v>
      </c>
    </row>
    <row r="33" spans="1:16" x14ac:dyDescent="0.25">
      <c r="A33" t="s">
        <v>30</v>
      </c>
      <c r="B33" t="s">
        <v>31</v>
      </c>
      <c r="C33" t="str">
        <f t="shared" si="0"/>
        <v>VF8_S2</v>
      </c>
      <c r="D33" t="s">
        <v>209</v>
      </c>
      <c r="E33">
        <v>2</v>
      </c>
      <c r="F33" t="s">
        <v>210</v>
      </c>
      <c r="G33" t="s">
        <v>213</v>
      </c>
      <c r="H33" t="s">
        <v>138</v>
      </c>
      <c r="I33" t="s">
        <v>36</v>
      </c>
      <c r="J33">
        <v>6</v>
      </c>
      <c r="K33">
        <v>100</v>
      </c>
      <c r="L33" t="s">
        <v>5</v>
      </c>
      <c r="M33" t="s">
        <v>37</v>
      </c>
      <c r="N33" t="s">
        <v>214</v>
      </c>
      <c r="O33" t="s">
        <v>212</v>
      </c>
      <c r="P33" t="s">
        <v>37</v>
      </c>
    </row>
    <row r="34" spans="1:16" x14ac:dyDescent="0.25">
      <c r="A34" t="s">
        <v>30</v>
      </c>
      <c r="B34" t="s">
        <v>31</v>
      </c>
      <c r="C34" t="str">
        <f t="shared" si="0"/>
        <v>VF8_S3</v>
      </c>
      <c r="D34" t="s">
        <v>209</v>
      </c>
      <c r="E34">
        <v>3</v>
      </c>
      <c r="F34" t="s">
        <v>210</v>
      </c>
      <c r="G34" t="s">
        <v>215</v>
      </c>
      <c r="H34" t="s">
        <v>138</v>
      </c>
      <c r="I34" t="s">
        <v>36</v>
      </c>
      <c r="J34">
        <v>6</v>
      </c>
      <c r="K34">
        <v>100</v>
      </c>
      <c r="L34" t="s">
        <v>5</v>
      </c>
      <c r="M34" t="s">
        <v>37</v>
      </c>
      <c r="N34" t="s">
        <v>216</v>
      </c>
      <c r="O34" t="s">
        <v>212</v>
      </c>
      <c r="P34" t="s">
        <v>37</v>
      </c>
    </row>
    <row r="35" spans="1:16" x14ac:dyDescent="0.25">
      <c r="A35" t="s">
        <v>30</v>
      </c>
      <c r="B35" t="s">
        <v>31</v>
      </c>
      <c r="C35" t="str">
        <f t="shared" si="0"/>
        <v>VF8_S4</v>
      </c>
      <c r="D35" t="s">
        <v>209</v>
      </c>
      <c r="E35">
        <v>4</v>
      </c>
      <c r="F35" t="s">
        <v>210</v>
      </c>
      <c r="G35" t="s">
        <v>217</v>
      </c>
      <c r="H35" t="s">
        <v>138</v>
      </c>
      <c r="I35" t="s">
        <v>36</v>
      </c>
      <c r="J35">
        <v>6</v>
      </c>
      <c r="K35">
        <v>100</v>
      </c>
      <c r="L35" t="s">
        <v>5</v>
      </c>
      <c r="M35" t="s">
        <v>37</v>
      </c>
      <c r="N35" t="s">
        <v>218</v>
      </c>
      <c r="O35" t="s">
        <v>212</v>
      </c>
      <c r="P35" t="s">
        <v>37</v>
      </c>
    </row>
    <row r="36" spans="1:16" x14ac:dyDescent="0.25">
      <c r="A36" t="s">
        <v>30</v>
      </c>
      <c r="B36" t="s">
        <v>31</v>
      </c>
      <c r="C36" t="str">
        <f t="shared" si="0"/>
        <v>VF8_S5</v>
      </c>
      <c r="D36" t="s">
        <v>209</v>
      </c>
      <c r="E36">
        <v>5</v>
      </c>
      <c r="F36" t="s">
        <v>210</v>
      </c>
      <c r="G36" t="s">
        <v>219</v>
      </c>
      <c r="H36" t="s">
        <v>138</v>
      </c>
      <c r="I36" t="s">
        <v>36</v>
      </c>
      <c r="J36">
        <v>6</v>
      </c>
      <c r="K36">
        <v>100</v>
      </c>
      <c r="L36" t="s">
        <v>5</v>
      </c>
      <c r="M36" t="s">
        <v>37</v>
      </c>
      <c r="N36" t="s">
        <v>220</v>
      </c>
      <c r="O36" t="s">
        <v>212</v>
      </c>
      <c r="P36" t="s">
        <v>37</v>
      </c>
    </row>
    <row r="37" spans="1:16" x14ac:dyDescent="0.25">
      <c r="A37" t="s">
        <v>30</v>
      </c>
      <c r="B37" t="s">
        <v>31</v>
      </c>
      <c r="C37" t="str">
        <f t="shared" si="0"/>
        <v>VF8_S6</v>
      </c>
      <c r="D37" t="s">
        <v>209</v>
      </c>
      <c r="E37">
        <v>6</v>
      </c>
      <c r="F37" t="s">
        <v>210</v>
      </c>
      <c r="G37" t="s">
        <v>221</v>
      </c>
      <c r="H37" t="s">
        <v>138</v>
      </c>
      <c r="I37" t="s">
        <v>36</v>
      </c>
      <c r="J37">
        <v>6</v>
      </c>
      <c r="K37">
        <v>200</v>
      </c>
      <c r="L37" t="s">
        <v>5</v>
      </c>
      <c r="M37" t="s">
        <v>37</v>
      </c>
      <c r="N37" t="s">
        <v>222</v>
      </c>
      <c r="O37" t="s">
        <v>212</v>
      </c>
      <c r="P37" t="s">
        <v>37</v>
      </c>
    </row>
    <row r="38" spans="1:16" x14ac:dyDescent="0.25">
      <c r="A38" t="s">
        <v>30</v>
      </c>
      <c r="B38" t="s">
        <v>31</v>
      </c>
      <c r="C38" t="str">
        <f t="shared" si="0"/>
        <v>VF8_S7</v>
      </c>
      <c r="D38" t="s">
        <v>209</v>
      </c>
      <c r="E38">
        <v>7</v>
      </c>
      <c r="F38" t="s">
        <v>210</v>
      </c>
      <c r="G38" t="s">
        <v>223</v>
      </c>
      <c r="H38" t="s">
        <v>138</v>
      </c>
      <c r="I38" t="s">
        <v>36</v>
      </c>
      <c r="J38">
        <v>6</v>
      </c>
      <c r="K38">
        <v>350</v>
      </c>
      <c r="L38" t="s">
        <v>5</v>
      </c>
      <c r="M38" t="s">
        <v>37</v>
      </c>
      <c r="N38" t="s">
        <v>224</v>
      </c>
      <c r="O38" t="s">
        <v>212</v>
      </c>
      <c r="P38" t="s">
        <v>37</v>
      </c>
    </row>
    <row r="39" spans="1:16" x14ac:dyDescent="0.25">
      <c r="A39" t="s">
        <v>30</v>
      </c>
      <c r="B39" t="s">
        <v>31</v>
      </c>
      <c r="C39" t="str">
        <f t="shared" si="0"/>
        <v>VF9_S1</v>
      </c>
      <c r="D39" t="s">
        <v>225</v>
      </c>
      <c r="E39">
        <v>1</v>
      </c>
      <c r="F39" t="s">
        <v>226</v>
      </c>
      <c r="G39" t="s">
        <v>54</v>
      </c>
      <c r="H39" t="s">
        <v>138</v>
      </c>
      <c r="I39" t="s">
        <v>36</v>
      </c>
      <c r="J39">
        <v>6</v>
      </c>
      <c r="K39">
        <v>0</v>
      </c>
      <c r="L39" t="s">
        <v>5</v>
      </c>
      <c r="M39" t="s">
        <v>37</v>
      </c>
      <c r="N39" t="s">
        <v>227</v>
      </c>
      <c r="O39" t="s">
        <v>228</v>
      </c>
      <c r="P39" t="s">
        <v>37</v>
      </c>
    </row>
    <row r="40" spans="1:16" x14ac:dyDescent="0.25">
      <c r="A40" t="s">
        <v>30</v>
      </c>
      <c r="B40" t="s">
        <v>31</v>
      </c>
      <c r="C40" t="str">
        <f t="shared" si="0"/>
        <v>VF9_S2</v>
      </c>
      <c r="D40" t="s">
        <v>225</v>
      </c>
      <c r="E40">
        <v>2</v>
      </c>
      <c r="F40" t="s">
        <v>226</v>
      </c>
      <c r="G40" t="s">
        <v>229</v>
      </c>
      <c r="H40" t="s">
        <v>138</v>
      </c>
      <c r="I40" t="s">
        <v>36</v>
      </c>
      <c r="J40">
        <v>6</v>
      </c>
      <c r="K40">
        <v>150</v>
      </c>
      <c r="L40" t="s">
        <v>5</v>
      </c>
      <c r="M40" t="s">
        <v>37</v>
      </c>
      <c r="N40" t="s">
        <v>230</v>
      </c>
      <c r="O40" t="s">
        <v>228</v>
      </c>
      <c r="P40" t="s">
        <v>37</v>
      </c>
    </row>
    <row r="41" spans="1:16" x14ac:dyDescent="0.25">
      <c r="A41" t="s">
        <v>30</v>
      </c>
      <c r="B41" t="s">
        <v>31</v>
      </c>
      <c r="C41" t="str">
        <f t="shared" si="0"/>
        <v>VF9_S3</v>
      </c>
      <c r="D41" t="s">
        <v>225</v>
      </c>
      <c r="E41">
        <v>3</v>
      </c>
      <c r="F41" t="s">
        <v>226</v>
      </c>
      <c r="G41" t="s">
        <v>231</v>
      </c>
      <c r="H41" t="s">
        <v>138</v>
      </c>
      <c r="I41" t="s">
        <v>36</v>
      </c>
      <c r="J41">
        <v>6</v>
      </c>
      <c r="K41">
        <v>150</v>
      </c>
      <c r="L41" t="s">
        <v>5</v>
      </c>
      <c r="M41" t="s">
        <v>37</v>
      </c>
      <c r="N41" t="s">
        <v>232</v>
      </c>
      <c r="O41" t="s">
        <v>228</v>
      </c>
      <c r="P41" t="s">
        <v>37</v>
      </c>
    </row>
    <row r="42" spans="1:16" x14ac:dyDescent="0.25">
      <c r="A42" t="s">
        <v>30</v>
      </c>
      <c r="B42" t="s">
        <v>31</v>
      </c>
      <c r="C42" t="str">
        <f t="shared" si="0"/>
        <v>VF9_S4</v>
      </c>
      <c r="D42" t="s">
        <v>225</v>
      </c>
      <c r="E42">
        <v>4</v>
      </c>
      <c r="F42" t="s">
        <v>226</v>
      </c>
      <c r="G42" t="s">
        <v>233</v>
      </c>
      <c r="H42" t="s">
        <v>138</v>
      </c>
      <c r="I42" t="s">
        <v>36</v>
      </c>
      <c r="J42">
        <v>6</v>
      </c>
      <c r="K42">
        <v>200</v>
      </c>
      <c r="L42" t="s">
        <v>5</v>
      </c>
      <c r="M42" t="s">
        <v>37</v>
      </c>
      <c r="N42" t="s">
        <v>234</v>
      </c>
      <c r="O42" t="s">
        <v>37</v>
      </c>
      <c r="P42" t="s">
        <v>37</v>
      </c>
    </row>
    <row r="43" spans="1:16" x14ac:dyDescent="0.25">
      <c r="A43" t="s">
        <v>30</v>
      </c>
      <c r="B43" t="s">
        <v>31</v>
      </c>
      <c r="C43" t="str">
        <f t="shared" si="0"/>
        <v>VF10_S1</v>
      </c>
      <c r="D43" t="s">
        <v>235</v>
      </c>
      <c r="E43">
        <v>1</v>
      </c>
      <c r="F43" t="s">
        <v>236</v>
      </c>
      <c r="G43" t="s">
        <v>54</v>
      </c>
      <c r="H43" t="s">
        <v>138</v>
      </c>
      <c r="I43" t="s">
        <v>36</v>
      </c>
      <c r="J43">
        <v>5</v>
      </c>
      <c r="K43">
        <v>0</v>
      </c>
      <c r="L43" t="s">
        <v>5</v>
      </c>
      <c r="M43" t="s">
        <v>37</v>
      </c>
      <c r="N43" t="s">
        <v>237</v>
      </c>
      <c r="O43" t="s">
        <v>238</v>
      </c>
      <c r="P43" t="s">
        <v>37</v>
      </c>
    </row>
    <row r="44" spans="1:16" x14ac:dyDescent="0.25">
      <c r="A44" t="s">
        <v>30</v>
      </c>
      <c r="B44" t="s">
        <v>31</v>
      </c>
      <c r="C44" t="str">
        <f t="shared" si="0"/>
        <v>VF10_S2</v>
      </c>
      <c r="D44" t="s">
        <v>235</v>
      </c>
      <c r="E44">
        <v>2</v>
      </c>
      <c r="F44" t="s">
        <v>236</v>
      </c>
      <c r="G44" t="s">
        <v>49</v>
      </c>
      <c r="H44" t="s">
        <v>138</v>
      </c>
      <c r="I44" t="s">
        <v>36</v>
      </c>
      <c r="J44">
        <v>5</v>
      </c>
      <c r="K44">
        <v>250</v>
      </c>
      <c r="L44" t="s">
        <v>5</v>
      </c>
      <c r="M44" t="s">
        <v>37</v>
      </c>
      <c r="N44" t="s">
        <v>239</v>
      </c>
      <c r="O44" t="s">
        <v>238</v>
      </c>
      <c r="P44" t="s">
        <v>37</v>
      </c>
    </row>
    <row r="45" spans="1:16" x14ac:dyDescent="0.25">
      <c r="A45" t="s">
        <v>30</v>
      </c>
      <c r="B45" t="s">
        <v>31</v>
      </c>
      <c r="C45" t="str">
        <f t="shared" si="0"/>
        <v>VF11_S1</v>
      </c>
      <c r="D45" t="s">
        <v>240</v>
      </c>
      <c r="E45">
        <v>1</v>
      </c>
      <c r="F45" t="s">
        <v>241</v>
      </c>
      <c r="G45" t="s">
        <v>54</v>
      </c>
      <c r="H45" t="s">
        <v>138</v>
      </c>
      <c r="I45" t="s">
        <v>36</v>
      </c>
      <c r="J45">
        <v>5</v>
      </c>
      <c r="K45">
        <v>0</v>
      </c>
      <c r="L45" t="s">
        <v>5</v>
      </c>
      <c r="M45" t="s">
        <v>37</v>
      </c>
      <c r="N45" t="s">
        <v>242</v>
      </c>
      <c r="O45" t="s">
        <v>243</v>
      </c>
      <c r="P45" t="s">
        <v>37</v>
      </c>
    </row>
    <row r="46" spans="1:16" x14ac:dyDescent="0.25">
      <c r="A46" t="s">
        <v>30</v>
      </c>
      <c r="B46" t="s">
        <v>31</v>
      </c>
      <c r="C46" t="str">
        <f t="shared" si="0"/>
        <v>VF11_S2</v>
      </c>
      <c r="D46" t="s">
        <v>240</v>
      </c>
      <c r="E46">
        <v>2</v>
      </c>
      <c r="F46" t="s">
        <v>241</v>
      </c>
      <c r="G46" t="s">
        <v>49</v>
      </c>
      <c r="H46" t="s">
        <v>138</v>
      </c>
      <c r="I46" t="s">
        <v>36</v>
      </c>
      <c r="J46">
        <v>5</v>
      </c>
      <c r="K46">
        <v>0</v>
      </c>
      <c r="L46" t="s">
        <v>5</v>
      </c>
      <c r="M46" t="s">
        <v>37</v>
      </c>
      <c r="N46" t="s">
        <v>244</v>
      </c>
      <c r="O46" t="s">
        <v>243</v>
      </c>
      <c r="P46" t="s">
        <v>37</v>
      </c>
    </row>
    <row r="47" spans="1:16" x14ac:dyDescent="0.25">
      <c r="A47" t="s">
        <v>30</v>
      </c>
      <c r="B47" t="s">
        <v>31</v>
      </c>
      <c r="C47" t="str">
        <f t="shared" si="0"/>
        <v>VF12_S1</v>
      </c>
      <c r="D47" t="s">
        <v>245</v>
      </c>
      <c r="E47">
        <v>1</v>
      </c>
      <c r="F47" t="s">
        <v>246</v>
      </c>
      <c r="G47" t="s">
        <v>54</v>
      </c>
      <c r="H47" t="s">
        <v>138</v>
      </c>
      <c r="I47" t="s">
        <v>36</v>
      </c>
      <c r="J47">
        <v>5</v>
      </c>
      <c r="K47">
        <v>0</v>
      </c>
      <c r="L47" t="s">
        <v>5</v>
      </c>
      <c r="M47" t="s">
        <v>37</v>
      </c>
      <c r="N47" t="s">
        <v>195</v>
      </c>
      <c r="O47" t="s">
        <v>247</v>
      </c>
      <c r="P47" t="s">
        <v>37</v>
      </c>
    </row>
    <row r="48" spans="1:16" x14ac:dyDescent="0.25">
      <c r="A48" t="s">
        <v>30</v>
      </c>
      <c r="B48" t="s">
        <v>31</v>
      </c>
      <c r="C48" t="str">
        <f t="shared" si="0"/>
        <v>VF12_S2</v>
      </c>
      <c r="D48" t="s">
        <v>245</v>
      </c>
      <c r="E48">
        <v>2</v>
      </c>
      <c r="F48" t="s">
        <v>246</v>
      </c>
      <c r="G48" t="s">
        <v>49</v>
      </c>
      <c r="H48" t="s">
        <v>138</v>
      </c>
      <c r="I48" t="s">
        <v>36</v>
      </c>
      <c r="J48">
        <v>5</v>
      </c>
      <c r="K48">
        <v>0</v>
      </c>
      <c r="L48" t="s">
        <v>5</v>
      </c>
      <c r="M48" t="s">
        <v>37</v>
      </c>
      <c r="N48" t="s">
        <v>248</v>
      </c>
      <c r="O48" t="s">
        <v>247</v>
      </c>
      <c r="P48" t="s">
        <v>37</v>
      </c>
    </row>
    <row r="49" spans="1:16" x14ac:dyDescent="0.25">
      <c r="A49" t="s">
        <v>30</v>
      </c>
      <c r="B49" t="s">
        <v>31</v>
      </c>
      <c r="C49" t="str">
        <f t="shared" si="0"/>
        <v>VF13_S1</v>
      </c>
      <c r="D49" t="s">
        <v>249</v>
      </c>
      <c r="E49">
        <v>1</v>
      </c>
      <c r="F49" t="s">
        <v>250</v>
      </c>
      <c r="G49" t="s">
        <v>49</v>
      </c>
      <c r="H49" t="s">
        <v>138</v>
      </c>
      <c r="I49" t="s">
        <v>36</v>
      </c>
      <c r="J49">
        <v>19</v>
      </c>
      <c r="K49">
        <v>0</v>
      </c>
      <c r="L49" t="s">
        <v>5</v>
      </c>
      <c r="M49" t="s">
        <v>37</v>
      </c>
      <c r="N49" t="s">
        <v>251</v>
      </c>
      <c r="O49" t="s">
        <v>252</v>
      </c>
      <c r="P49" t="s">
        <v>37</v>
      </c>
    </row>
    <row r="50" spans="1:16" x14ac:dyDescent="0.25">
      <c r="A50" t="s">
        <v>30</v>
      </c>
      <c r="B50" t="s">
        <v>31</v>
      </c>
      <c r="C50" t="str">
        <f t="shared" si="0"/>
        <v>VF13_S2</v>
      </c>
      <c r="D50" t="s">
        <v>249</v>
      </c>
      <c r="E50">
        <v>2</v>
      </c>
      <c r="F50" t="s">
        <v>250</v>
      </c>
      <c r="G50" t="s">
        <v>49</v>
      </c>
      <c r="H50" t="s">
        <v>138</v>
      </c>
      <c r="I50" t="s">
        <v>36</v>
      </c>
      <c r="J50">
        <v>19</v>
      </c>
      <c r="K50">
        <v>125</v>
      </c>
      <c r="L50" t="s">
        <v>5</v>
      </c>
      <c r="M50" t="s">
        <v>37</v>
      </c>
      <c r="N50" t="s">
        <v>253</v>
      </c>
      <c r="O50" t="s">
        <v>252</v>
      </c>
      <c r="P50" t="s">
        <v>37</v>
      </c>
    </row>
    <row r="51" spans="1:16" x14ac:dyDescent="0.25">
      <c r="A51" t="s">
        <v>30</v>
      </c>
      <c r="B51" t="s">
        <v>31</v>
      </c>
      <c r="C51" t="str">
        <f t="shared" si="0"/>
        <v>VF14_S1</v>
      </c>
      <c r="D51" t="s">
        <v>254</v>
      </c>
      <c r="E51">
        <v>1</v>
      </c>
      <c r="F51" t="s">
        <v>255</v>
      </c>
      <c r="G51" t="s">
        <v>54</v>
      </c>
      <c r="H51" t="s">
        <v>138</v>
      </c>
      <c r="I51" t="s">
        <v>36</v>
      </c>
      <c r="J51">
        <v>22</v>
      </c>
      <c r="K51">
        <v>0</v>
      </c>
      <c r="L51" t="s">
        <v>5</v>
      </c>
      <c r="M51" t="s">
        <v>131</v>
      </c>
      <c r="N51" t="s">
        <v>132</v>
      </c>
      <c r="O51" t="s">
        <v>256</v>
      </c>
      <c r="P51" t="s">
        <v>37</v>
      </c>
    </row>
    <row r="52" spans="1:16" x14ac:dyDescent="0.25">
      <c r="A52" t="s">
        <v>30</v>
      </c>
      <c r="B52" t="s">
        <v>31</v>
      </c>
      <c r="C52" t="str">
        <f t="shared" si="0"/>
        <v>VF14_S2</v>
      </c>
      <c r="D52" t="s">
        <v>254</v>
      </c>
      <c r="E52">
        <v>2</v>
      </c>
      <c r="F52" t="s">
        <v>255</v>
      </c>
      <c r="G52" t="s">
        <v>49</v>
      </c>
      <c r="H52" t="s">
        <v>138</v>
      </c>
      <c r="I52" t="s">
        <v>36</v>
      </c>
      <c r="J52">
        <v>22</v>
      </c>
      <c r="K52">
        <v>0</v>
      </c>
      <c r="L52" t="s">
        <v>5</v>
      </c>
      <c r="M52" t="s">
        <v>131</v>
      </c>
      <c r="N52" t="s">
        <v>257</v>
      </c>
      <c r="O52" t="s">
        <v>256</v>
      </c>
      <c r="P52" t="s">
        <v>37</v>
      </c>
    </row>
    <row r="53" spans="1:16" x14ac:dyDescent="0.25">
      <c r="A53" t="s">
        <v>30</v>
      </c>
      <c r="B53" t="s">
        <v>31</v>
      </c>
      <c r="C53" t="str">
        <f t="shared" si="0"/>
        <v>VF15_S1</v>
      </c>
      <c r="D53" t="s">
        <v>258</v>
      </c>
      <c r="E53">
        <v>1</v>
      </c>
      <c r="F53" t="s">
        <v>259</v>
      </c>
      <c r="G53" t="s">
        <v>54</v>
      </c>
      <c r="H53" t="s">
        <v>138</v>
      </c>
      <c r="I53" t="s">
        <v>36</v>
      </c>
      <c r="J53">
        <v>26</v>
      </c>
      <c r="K53">
        <v>0</v>
      </c>
      <c r="L53" t="s">
        <v>5</v>
      </c>
      <c r="M53" t="s">
        <v>37</v>
      </c>
      <c r="N53" t="s">
        <v>260</v>
      </c>
      <c r="O53" t="s">
        <v>261</v>
      </c>
      <c r="P53" t="s">
        <v>37</v>
      </c>
    </row>
    <row r="54" spans="1:16" x14ac:dyDescent="0.25">
      <c r="A54" t="s">
        <v>30</v>
      </c>
      <c r="B54" t="s">
        <v>31</v>
      </c>
      <c r="C54" t="str">
        <f t="shared" si="0"/>
        <v>VF15_S2</v>
      </c>
      <c r="D54" t="s">
        <v>258</v>
      </c>
      <c r="E54">
        <v>2</v>
      </c>
      <c r="F54" t="s">
        <v>259</v>
      </c>
      <c r="G54" t="s">
        <v>262</v>
      </c>
      <c r="H54" t="s">
        <v>138</v>
      </c>
      <c r="I54" t="s">
        <v>36</v>
      </c>
      <c r="J54">
        <v>26</v>
      </c>
      <c r="K54">
        <v>300</v>
      </c>
      <c r="L54" t="s">
        <v>5</v>
      </c>
      <c r="M54" t="s">
        <v>37</v>
      </c>
      <c r="N54" t="s">
        <v>263</v>
      </c>
      <c r="O54" t="s">
        <v>261</v>
      </c>
      <c r="P54" t="s">
        <v>37</v>
      </c>
    </row>
    <row r="55" spans="1:16" x14ac:dyDescent="0.25">
      <c r="A55" t="s">
        <v>30</v>
      </c>
      <c r="B55" t="s">
        <v>31</v>
      </c>
      <c r="C55" t="str">
        <f t="shared" si="0"/>
        <v>VF15_S3</v>
      </c>
      <c r="D55" t="s">
        <v>258</v>
      </c>
      <c r="E55">
        <v>3</v>
      </c>
      <c r="F55" t="s">
        <v>259</v>
      </c>
      <c r="G55" t="s">
        <v>264</v>
      </c>
      <c r="H55" t="s">
        <v>138</v>
      </c>
      <c r="I55" t="s">
        <v>36</v>
      </c>
      <c r="J55">
        <v>26</v>
      </c>
      <c r="K55">
        <v>1000</v>
      </c>
      <c r="L55" t="s">
        <v>5</v>
      </c>
      <c r="M55" t="s">
        <v>37</v>
      </c>
      <c r="N55" t="s">
        <v>265</v>
      </c>
      <c r="O55" t="s">
        <v>261</v>
      </c>
      <c r="P55" t="s">
        <v>37</v>
      </c>
    </row>
    <row r="56" spans="1:16" x14ac:dyDescent="0.25">
      <c r="A56" t="s">
        <v>266</v>
      </c>
      <c r="B56" t="s">
        <v>31</v>
      </c>
      <c r="C56" t="str">
        <f t="shared" si="0"/>
        <v>VZB1NA_S1</v>
      </c>
      <c r="D56" t="s">
        <v>267</v>
      </c>
      <c r="E56">
        <v>1</v>
      </c>
      <c r="F56" t="s">
        <v>268</v>
      </c>
      <c r="G56" t="s">
        <v>54</v>
      </c>
      <c r="H56" t="s">
        <v>138</v>
      </c>
      <c r="I56" t="s">
        <v>42</v>
      </c>
      <c r="J56" t="s">
        <v>37</v>
      </c>
      <c r="K56">
        <v>0</v>
      </c>
      <c r="L56" t="s">
        <v>12</v>
      </c>
      <c r="M56" t="s">
        <v>37</v>
      </c>
      <c r="N56" t="s">
        <v>127</v>
      </c>
      <c r="O56" t="s">
        <v>269</v>
      </c>
      <c r="P56" t="s">
        <v>37</v>
      </c>
    </row>
    <row r="57" spans="1:16" x14ac:dyDescent="0.25">
      <c r="A57" t="s">
        <v>266</v>
      </c>
      <c r="B57" t="s">
        <v>31</v>
      </c>
      <c r="C57" t="str">
        <f t="shared" si="0"/>
        <v>VZB1NA_S2</v>
      </c>
      <c r="D57" t="s">
        <v>267</v>
      </c>
      <c r="E57">
        <v>2</v>
      </c>
      <c r="F57" t="s">
        <v>268</v>
      </c>
      <c r="G57" t="s">
        <v>49</v>
      </c>
      <c r="H57" t="s">
        <v>138</v>
      </c>
      <c r="I57" t="s">
        <v>42</v>
      </c>
      <c r="J57" t="s">
        <v>37</v>
      </c>
      <c r="K57">
        <v>25</v>
      </c>
      <c r="L57" t="s">
        <v>12</v>
      </c>
      <c r="M57" t="s">
        <v>37</v>
      </c>
      <c r="N57" t="s">
        <v>270</v>
      </c>
      <c r="O57" t="s">
        <v>269</v>
      </c>
      <c r="P57" t="s">
        <v>37</v>
      </c>
    </row>
    <row r="58" spans="1:16" x14ac:dyDescent="0.25">
      <c r="A58" t="s">
        <v>266</v>
      </c>
      <c r="B58" t="s">
        <v>31</v>
      </c>
      <c r="C58" t="str">
        <f t="shared" si="0"/>
        <v>VZB2NA_S1</v>
      </c>
      <c r="D58" t="s">
        <v>271</v>
      </c>
      <c r="E58">
        <v>1</v>
      </c>
      <c r="F58" t="s">
        <v>272</v>
      </c>
      <c r="G58" t="s">
        <v>54</v>
      </c>
      <c r="H58" t="s">
        <v>138</v>
      </c>
      <c r="I58" t="s">
        <v>42</v>
      </c>
      <c r="J58" t="s">
        <v>37</v>
      </c>
      <c r="K58">
        <v>0</v>
      </c>
      <c r="M58" t="s">
        <v>37</v>
      </c>
      <c r="N58" t="s">
        <v>127</v>
      </c>
      <c r="O58" t="s">
        <v>273</v>
      </c>
      <c r="P58" t="s">
        <v>37</v>
      </c>
    </row>
    <row r="59" spans="1:16" x14ac:dyDescent="0.25">
      <c r="A59" t="s">
        <v>266</v>
      </c>
      <c r="B59" t="s">
        <v>31</v>
      </c>
      <c r="C59" t="str">
        <f t="shared" si="0"/>
        <v>VZB2NA_S2</v>
      </c>
      <c r="D59" t="s">
        <v>271</v>
      </c>
      <c r="E59">
        <v>2</v>
      </c>
      <c r="F59" t="s">
        <v>272</v>
      </c>
      <c r="G59" t="s">
        <v>274</v>
      </c>
      <c r="H59" t="s">
        <v>138</v>
      </c>
      <c r="I59" t="s">
        <v>42</v>
      </c>
      <c r="J59" t="s">
        <v>37</v>
      </c>
      <c r="K59">
        <v>10</v>
      </c>
      <c r="L59" t="s">
        <v>12</v>
      </c>
      <c r="M59" t="s">
        <v>37</v>
      </c>
      <c r="N59" t="s">
        <v>275</v>
      </c>
      <c r="O59" t="s">
        <v>273</v>
      </c>
      <c r="P59" t="s">
        <v>37</v>
      </c>
    </row>
    <row r="60" spans="1:16" x14ac:dyDescent="0.25">
      <c r="A60" t="s">
        <v>266</v>
      </c>
      <c r="B60" t="s">
        <v>31</v>
      </c>
      <c r="C60" t="str">
        <f t="shared" si="0"/>
        <v>VZB2NA_S3</v>
      </c>
      <c r="D60" t="s">
        <v>271</v>
      </c>
      <c r="E60">
        <v>3</v>
      </c>
      <c r="F60" t="s">
        <v>272</v>
      </c>
      <c r="G60" t="s">
        <v>49</v>
      </c>
      <c r="H60" t="s">
        <v>138</v>
      </c>
      <c r="I60" t="s">
        <v>42</v>
      </c>
      <c r="J60" t="s">
        <v>37</v>
      </c>
      <c r="K60">
        <v>25</v>
      </c>
      <c r="L60" t="s">
        <v>12</v>
      </c>
      <c r="M60" t="s">
        <v>37</v>
      </c>
      <c r="N60" t="s">
        <v>276</v>
      </c>
      <c r="O60" t="s">
        <v>37</v>
      </c>
      <c r="P60" t="s">
        <v>37</v>
      </c>
    </row>
    <row r="61" spans="1:16" x14ac:dyDescent="0.25">
      <c r="A61" t="s">
        <v>266</v>
      </c>
      <c r="B61" t="s">
        <v>31</v>
      </c>
      <c r="C61" t="str">
        <f t="shared" si="0"/>
        <v>VZB3NA_S1</v>
      </c>
      <c r="D61" t="s">
        <v>277</v>
      </c>
      <c r="E61">
        <v>1</v>
      </c>
      <c r="F61" t="s">
        <v>278</v>
      </c>
      <c r="G61" t="s">
        <v>54</v>
      </c>
      <c r="H61" t="s">
        <v>138</v>
      </c>
      <c r="I61" t="s">
        <v>42</v>
      </c>
      <c r="J61" t="s">
        <v>37</v>
      </c>
      <c r="K61">
        <v>0</v>
      </c>
      <c r="L61" t="s">
        <v>12</v>
      </c>
      <c r="M61" t="s">
        <v>37</v>
      </c>
      <c r="N61" t="s">
        <v>127</v>
      </c>
      <c r="O61" t="s">
        <v>279</v>
      </c>
      <c r="P61" t="s">
        <v>37</v>
      </c>
    </row>
    <row r="62" spans="1:16" x14ac:dyDescent="0.25">
      <c r="A62" t="s">
        <v>266</v>
      </c>
      <c r="B62" t="s">
        <v>31</v>
      </c>
      <c r="C62" t="str">
        <f t="shared" si="0"/>
        <v>VZB3NA_S2</v>
      </c>
      <c r="D62" t="s">
        <v>277</v>
      </c>
      <c r="E62">
        <v>2</v>
      </c>
      <c r="F62" t="s">
        <v>278</v>
      </c>
      <c r="G62" t="s">
        <v>49</v>
      </c>
      <c r="H62" t="s">
        <v>138</v>
      </c>
      <c r="I62" t="s">
        <v>42</v>
      </c>
      <c r="J62" t="s">
        <v>37</v>
      </c>
      <c r="K62">
        <v>25</v>
      </c>
      <c r="L62" t="s">
        <v>12</v>
      </c>
      <c r="M62" t="s">
        <v>37</v>
      </c>
      <c r="N62" t="s">
        <v>280</v>
      </c>
      <c r="O62" t="s">
        <v>279</v>
      </c>
      <c r="P62" t="s">
        <v>37</v>
      </c>
    </row>
    <row r="63" spans="1:16" x14ac:dyDescent="0.25">
      <c r="A63" t="s">
        <v>266</v>
      </c>
      <c r="B63" t="s">
        <v>31</v>
      </c>
      <c r="C63" t="str">
        <f t="shared" si="0"/>
        <v>VZB4NA_S1</v>
      </c>
      <c r="D63" t="s">
        <v>281</v>
      </c>
      <c r="E63">
        <v>1</v>
      </c>
      <c r="F63" t="s">
        <v>282</v>
      </c>
      <c r="G63" t="s">
        <v>54</v>
      </c>
      <c r="H63" t="s">
        <v>138</v>
      </c>
      <c r="I63" t="s">
        <v>42</v>
      </c>
      <c r="J63" t="s">
        <v>37</v>
      </c>
      <c r="K63">
        <v>0</v>
      </c>
      <c r="L63" t="s">
        <v>12</v>
      </c>
      <c r="M63" t="s">
        <v>37</v>
      </c>
      <c r="N63" t="s">
        <v>127</v>
      </c>
      <c r="O63" t="s">
        <v>283</v>
      </c>
      <c r="P63" t="s">
        <v>37</v>
      </c>
    </row>
    <row r="64" spans="1:16" x14ac:dyDescent="0.25">
      <c r="A64" t="s">
        <v>266</v>
      </c>
      <c r="B64" t="s">
        <v>31</v>
      </c>
      <c r="C64" t="str">
        <f t="shared" si="0"/>
        <v>VZB4NA_S2a</v>
      </c>
      <c r="D64" t="s">
        <v>281</v>
      </c>
      <c r="E64" t="s">
        <v>72</v>
      </c>
      <c r="F64" t="s">
        <v>282</v>
      </c>
      <c r="G64" t="s">
        <v>284</v>
      </c>
      <c r="H64" t="s">
        <v>138</v>
      </c>
      <c r="I64" t="s">
        <v>42</v>
      </c>
      <c r="J64" t="s">
        <v>37</v>
      </c>
      <c r="K64">
        <v>40</v>
      </c>
      <c r="L64" t="s">
        <v>12</v>
      </c>
      <c r="M64" t="s">
        <v>37</v>
      </c>
      <c r="N64" t="s">
        <v>285</v>
      </c>
      <c r="O64" t="s">
        <v>283</v>
      </c>
      <c r="P64" t="s">
        <v>286</v>
      </c>
    </row>
    <row r="65" spans="1:16" x14ac:dyDescent="0.25">
      <c r="A65" t="s">
        <v>266</v>
      </c>
      <c r="B65" t="s">
        <v>31</v>
      </c>
      <c r="C65" t="str">
        <f t="shared" si="0"/>
        <v>VZB4NA_S2b</v>
      </c>
      <c r="D65" t="s">
        <v>281</v>
      </c>
      <c r="E65" t="s">
        <v>75</v>
      </c>
      <c r="F65" t="s">
        <v>282</v>
      </c>
      <c r="G65" t="s">
        <v>287</v>
      </c>
      <c r="H65" t="s">
        <v>138</v>
      </c>
      <c r="I65" t="s">
        <v>42</v>
      </c>
      <c r="J65" t="s">
        <v>37</v>
      </c>
      <c r="K65">
        <v>0</v>
      </c>
      <c r="L65" t="s">
        <v>12</v>
      </c>
      <c r="M65" t="s">
        <v>37</v>
      </c>
      <c r="N65" t="s">
        <v>285</v>
      </c>
      <c r="O65" t="s">
        <v>283</v>
      </c>
      <c r="P65" t="s">
        <v>288</v>
      </c>
    </row>
    <row r="66" spans="1:16" x14ac:dyDescent="0.25">
      <c r="A66" t="s">
        <v>266</v>
      </c>
      <c r="B66" t="s">
        <v>31</v>
      </c>
      <c r="C66" t="str">
        <f t="shared" ref="C66:C129" si="1">_xlfn.CONCAT(D66,"_S",E66)</f>
        <v>VZB4NA_S3</v>
      </c>
      <c r="D66" t="s">
        <v>281</v>
      </c>
      <c r="E66">
        <v>3</v>
      </c>
      <c r="F66" t="s">
        <v>282</v>
      </c>
      <c r="G66" t="s">
        <v>49</v>
      </c>
      <c r="H66" t="s">
        <v>138</v>
      </c>
      <c r="I66" t="s">
        <v>42</v>
      </c>
      <c r="J66" t="s">
        <v>37</v>
      </c>
      <c r="K66">
        <v>0</v>
      </c>
      <c r="L66" t="s">
        <v>12</v>
      </c>
      <c r="M66" t="s">
        <v>37</v>
      </c>
      <c r="N66" t="s">
        <v>289</v>
      </c>
      <c r="O66" t="s">
        <v>37</v>
      </c>
      <c r="P66" t="s">
        <v>37</v>
      </c>
    </row>
    <row r="67" spans="1:16" x14ac:dyDescent="0.25">
      <c r="A67" t="s">
        <v>266</v>
      </c>
      <c r="B67" t="s">
        <v>31</v>
      </c>
      <c r="C67" t="str">
        <f t="shared" si="1"/>
        <v>VZB5NA_S1</v>
      </c>
      <c r="D67" t="s">
        <v>290</v>
      </c>
      <c r="E67">
        <v>1</v>
      </c>
      <c r="F67" t="s">
        <v>291</v>
      </c>
      <c r="G67" t="s">
        <v>292</v>
      </c>
      <c r="H67" t="s">
        <v>138</v>
      </c>
      <c r="I67" t="s">
        <v>42</v>
      </c>
      <c r="J67" t="s">
        <v>37</v>
      </c>
      <c r="K67">
        <v>25</v>
      </c>
      <c r="L67" t="s">
        <v>12</v>
      </c>
      <c r="M67" t="s">
        <v>37</v>
      </c>
      <c r="N67" t="s">
        <v>160</v>
      </c>
      <c r="O67" t="s">
        <v>37</v>
      </c>
      <c r="P67" t="s">
        <v>37</v>
      </c>
    </row>
    <row r="68" spans="1:16" x14ac:dyDescent="0.25">
      <c r="A68" t="s">
        <v>266</v>
      </c>
      <c r="B68" t="s">
        <v>31</v>
      </c>
      <c r="C68" t="str">
        <f t="shared" si="1"/>
        <v>VZB5NA_S2</v>
      </c>
      <c r="D68" t="s">
        <v>290</v>
      </c>
      <c r="E68">
        <v>2</v>
      </c>
      <c r="F68" t="s">
        <v>291</v>
      </c>
      <c r="G68" t="s">
        <v>293</v>
      </c>
      <c r="H68" t="s">
        <v>138</v>
      </c>
      <c r="I68" t="s">
        <v>42</v>
      </c>
      <c r="J68" t="s">
        <v>37</v>
      </c>
      <c r="K68">
        <v>25</v>
      </c>
      <c r="L68" t="s">
        <v>12</v>
      </c>
      <c r="M68" t="s">
        <v>37</v>
      </c>
      <c r="N68" t="s">
        <v>294</v>
      </c>
      <c r="O68" t="s">
        <v>37</v>
      </c>
      <c r="P68" t="s">
        <v>37</v>
      </c>
    </row>
    <row r="69" spans="1:16" x14ac:dyDescent="0.25">
      <c r="A69" t="s">
        <v>266</v>
      </c>
      <c r="B69" t="s">
        <v>31</v>
      </c>
      <c r="C69" t="str">
        <f t="shared" si="1"/>
        <v>VZB5NA_S3</v>
      </c>
      <c r="D69" t="s">
        <v>290</v>
      </c>
      <c r="E69">
        <v>3</v>
      </c>
      <c r="F69" t="s">
        <v>291</v>
      </c>
      <c r="G69" t="s">
        <v>295</v>
      </c>
      <c r="H69" t="s">
        <v>138</v>
      </c>
      <c r="I69" t="s">
        <v>42</v>
      </c>
      <c r="J69" t="s">
        <v>37</v>
      </c>
      <c r="K69">
        <v>25</v>
      </c>
      <c r="L69" t="s">
        <v>12</v>
      </c>
      <c r="M69" t="s">
        <v>37</v>
      </c>
      <c r="N69" t="s">
        <v>296</v>
      </c>
      <c r="O69" t="s">
        <v>37</v>
      </c>
      <c r="P69" t="s">
        <v>37</v>
      </c>
    </row>
    <row r="70" spans="1:16" x14ac:dyDescent="0.25">
      <c r="A70" t="s">
        <v>266</v>
      </c>
      <c r="B70" t="s">
        <v>31</v>
      </c>
      <c r="C70" t="str">
        <f t="shared" si="1"/>
        <v>VZB5NA_S4</v>
      </c>
      <c r="D70" t="s">
        <v>290</v>
      </c>
      <c r="E70">
        <v>4</v>
      </c>
      <c r="F70" t="s">
        <v>291</v>
      </c>
      <c r="G70" t="s">
        <v>297</v>
      </c>
      <c r="H70" t="s">
        <v>138</v>
      </c>
      <c r="I70" t="s">
        <v>42</v>
      </c>
      <c r="J70" t="s">
        <v>37</v>
      </c>
      <c r="K70">
        <v>25</v>
      </c>
      <c r="L70" t="s">
        <v>12</v>
      </c>
      <c r="M70" t="s">
        <v>37</v>
      </c>
      <c r="N70" t="s">
        <v>298</v>
      </c>
      <c r="O70" t="s">
        <v>37</v>
      </c>
      <c r="P70" t="s">
        <v>37</v>
      </c>
    </row>
    <row r="71" spans="1:16" x14ac:dyDescent="0.25">
      <c r="A71" t="s">
        <v>266</v>
      </c>
      <c r="B71" t="s">
        <v>31</v>
      </c>
      <c r="C71" t="str">
        <f t="shared" si="1"/>
        <v>VZB6NA_S1</v>
      </c>
      <c r="D71" t="s">
        <v>299</v>
      </c>
      <c r="E71">
        <v>1</v>
      </c>
      <c r="F71" t="s">
        <v>300</v>
      </c>
      <c r="G71" t="s">
        <v>54</v>
      </c>
      <c r="H71" t="s">
        <v>138</v>
      </c>
      <c r="I71" t="s">
        <v>42</v>
      </c>
      <c r="J71" t="s">
        <v>37</v>
      </c>
      <c r="K71">
        <v>25</v>
      </c>
      <c r="L71" t="s">
        <v>12</v>
      </c>
      <c r="M71" t="s">
        <v>37</v>
      </c>
      <c r="N71" t="s">
        <v>127</v>
      </c>
      <c r="O71" t="s">
        <v>301</v>
      </c>
      <c r="P71" t="s">
        <v>37</v>
      </c>
    </row>
    <row r="72" spans="1:16" x14ac:dyDescent="0.25">
      <c r="A72" t="s">
        <v>266</v>
      </c>
      <c r="B72" t="s">
        <v>31</v>
      </c>
      <c r="C72" t="str">
        <f t="shared" si="1"/>
        <v>VZB6NA_S2</v>
      </c>
      <c r="D72" t="s">
        <v>299</v>
      </c>
      <c r="E72">
        <v>2</v>
      </c>
      <c r="F72" t="s">
        <v>300</v>
      </c>
      <c r="G72" t="s">
        <v>302</v>
      </c>
      <c r="H72" t="s">
        <v>138</v>
      </c>
      <c r="I72" t="s">
        <v>42</v>
      </c>
      <c r="J72" t="s">
        <v>37</v>
      </c>
      <c r="K72">
        <v>25</v>
      </c>
      <c r="L72" t="s">
        <v>12</v>
      </c>
      <c r="M72" t="s">
        <v>37</v>
      </c>
      <c r="N72" t="s">
        <v>303</v>
      </c>
      <c r="O72" t="s">
        <v>301</v>
      </c>
      <c r="P72" t="s">
        <v>37</v>
      </c>
    </row>
    <row r="73" spans="1:16" x14ac:dyDescent="0.25">
      <c r="A73" t="s">
        <v>266</v>
      </c>
      <c r="B73" t="s">
        <v>31</v>
      </c>
      <c r="C73" t="str">
        <f t="shared" si="1"/>
        <v>VZB6NA_S3</v>
      </c>
      <c r="D73" t="s">
        <v>299</v>
      </c>
      <c r="E73">
        <v>3</v>
      </c>
      <c r="F73" t="s">
        <v>300</v>
      </c>
      <c r="G73" t="s">
        <v>304</v>
      </c>
      <c r="H73" t="s">
        <v>138</v>
      </c>
      <c r="I73" t="s">
        <v>42</v>
      </c>
      <c r="J73" t="s">
        <v>37</v>
      </c>
      <c r="K73">
        <v>50</v>
      </c>
      <c r="L73" t="s">
        <v>12</v>
      </c>
      <c r="M73" t="s">
        <v>37</v>
      </c>
      <c r="N73" t="s">
        <v>305</v>
      </c>
      <c r="O73" t="s">
        <v>37</v>
      </c>
      <c r="P73" t="s">
        <v>37</v>
      </c>
    </row>
    <row r="74" spans="1:16" x14ac:dyDescent="0.25">
      <c r="A74" t="s">
        <v>266</v>
      </c>
      <c r="B74" t="s">
        <v>31</v>
      </c>
      <c r="C74" t="str">
        <f t="shared" si="1"/>
        <v>VZB7NA_S1</v>
      </c>
      <c r="D74" t="s">
        <v>306</v>
      </c>
      <c r="E74">
        <v>1</v>
      </c>
      <c r="F74" t="s">
        <v>307</v>
      </c>
      <c r="G74" t="s">
        <v>54</v>
      </c>
      <c r="H74" t="s">
        <v>138</v>
      </c>
      <c r="I74" t="s">
        <v>42</v>
      </c>
      <c r="J74" t="s">
        <v>37</v>
      </c>
      <c r="K74">
        <v>0</v>
      </c>
      <c r="L74" t="s">
        <v>12</v>
      </c>
      <c r="M74" t="s">
        <v>37</v>
      </c>
      <c r="N74" t="s">
        <v>127</v>
      </c>
      <c r="O74" t="s">
        <v>308</v>
      </c>
      <c r="P74" t="s">
        <v>37</v>
      </c>
    </row>
    <row r="75" spans="1:16" x14ac:dyDescent="0.25">
      <c r="A75" t="s">
        <v>266</v>
      </c>
      <c r="B75" t="s">
        <v>31</v>
      </c>
      <c r="C75" t="str">
        <f t="shared" si="1"/>
        <v>VZB7NA_S2</v>
      </c>
      <c r="D75" t="s">
        <v>306</v>
      </c>
      <c r="E75">
        <v>2</v>
      </c>
      <c r="F75" t="s">
        <v>307</v>
      </c>
      <c r="G75" t="s">
        <v>309</v>
      </c>
      <c r="H75" t="s">
        <v>138</v>
      </c>
      <c r="I75" t="s">
        <v>42</v>
      </c>
      <c r="J75" t="s">
        <v>37</v>
      </c>
      <c r="K75">
        <v>10</v>
      </c>
      <c r="L75" t="s">
        <v>12</v>
      </c>
      <c r="M75" t="s">
        <v>37</v>
      </c>
      <c r="N75" t="s">
        <v>310</v>
      </c>
      <c r="O75" t="s">
        <v>308</v>
      </c>
      <c r="P75" t="s">
        <v>37</v>
      </c>
    </row>
    <row r="76" spans="1:16" x14ac:dyDescent="0.25">
      <c r="A76" t="s">
        <v>266</v>
      </c>
      <c r="B76" t="s">
        <v>31</v>
      </c>
      <c r="C76" t="str">
        <f t="shared" si="1"/>
        <v>VZB8NA_S1</v>
      </c>
      <c r="D76" t="s">
        <v>311</v>
      </c>
      <c r="E76">
        <v>1</v>
      </c>
      <c r="F76" t="s">
        <v>312</v>
      </c>
      <c r="G76" t="s">
        <v>54</v>
      </c>
      <c r="H76" t="s">
        <v>138</v>
      </c>
      <c r="I76" t="s">
        <v>42</v>
      </c>
      <c r="J76" t="s">
        <v>37</v>
      </c>
      <c r="K76">
        <v>0</v>
      </c>
      <c r="L76" t="s">
        <v>12</v>
      </c>
      <c r="M76" t="s">
        <v>37</v>
      </c>
      <c r="N76" t="s">
        <v>127</v>
      </c>
      <c r="O76" t="s">
        <v>313</v>
      </c>
      <c r="P76" t="s">
        <v>37</v>
      </c>
    </row>
    <row r="77" spans="1:16" x14ac:dyDescent="0.25">
      <c r="A77" t="s">
        <v>266</v>
      </c>
      <c r="B77" t="s">
        <v>31</v>
      </c>
      <c r="C77" t="str">
        <f t="shared" si="1"/>
        <v>VZB8NA_S2</v>
      </c>
      <c r="D77" t="s">
        <v>311</v>
      </c>
      <c r="E77">
        <v>2</v>
      </c>
      <c r="F77" t="s">
        <v>312</v>
      </c>
      <c r="G77" t="s">
        <v>49</v>
      </c>
      <c r="H77" t="s">
        <v>138</v>
      </c>
      <c r="I77" t="s">
        <v>42</v>
      </c>
      <c r="J77" t="s">
        <v>37</v>
      </c>
      <c r="K77">
        <v>0</v>
      </c>
      <c r="L77" t="s">
        <v>12</v>
      </c>
      <c r="M77" t="s">
        <v>37</v>
      </c>
      <c r="N77" t="s">
        <v>314</v>
      </c>
      <c r="O77" t="s">
        <v>313</v>
      </c>
      <c r="P77" t="s">
        <v>37</v>
      </c>
    </row>
    <row r="78" spans="1:16" x14ac:dyDescent="0.25">
      <c r="A78" t="s">
        <v>266</v>
      </c>
      <c r="B78" t="s">
        <v>31</v>
      </c>
      <c r="C78" t="str">
        <f t="shared" si="1"/>
        <v>VZB9_S1</v>
      </c>
      <c r="D78" t="s">
        <v>315</v>
      </c>
      <c r="E78">
        <v>1</v>
      </c>
      <c r="F78" t="s">
        <v>316</v>
      </c>
      <c r="G78" t="s">
        <v>54</v>
      </c>
      <c r="H78" t="s">
        <v>138</v>
      </c>
      <c r="I78" t="s">
        <v>42</v>
      </c>
      <c r="J78" t="s">
        <v>37</v>
      </c>
      <c r="K78">
        <v>0</v>
      </c>
      <c r="L78" t="s">
        <v>12</v>
      </c>
      <c r="M78" t="s">
        <v>37</v>
      </c>
      <c r="N78" t="s">
        <v>127</v>
      </c>
      <c r="O78" t="s">
        <v>317</v>
      </c>
      <c r="P78" t="s">
        <v>37</v>
      </c>
    </row>
    <row r="79" spans="1:16" x14ac:dyDescent="0.25">
      <c r="A79" t="s">
        <v>266</v>
      </c>
      <c r="B79" t="s">
        <v>31</v>
      </c>
      <c r="C79" t="str">
        <f t="shared" si="1"/>
        <v>VZB9_S2</v>
      </c>
      <c r="D79" t="s">
        <v>315</v>
      </c>
      <c r="E79">
        <v>2</v>
      </c>
      <c r="F79" t="s">
        <v>316</v>
      </c>
      <c r="G79" t="s">
        <v>318</v>
      </c>
      <c r="H79" t="s">
        <v>138</v>
      </c>
      <c r="I79" t="s">
        <v>42</v>
      </c>
      <c r="J79" t="s">
        <v>37</v>
      </c>
      <c r="K79">
        <v>10</v>
      </c>
      <c r="L79" t="s">
        <v>12</v>
      </c>
      <c r="M79" t="s">
        <v>37</v>
      </c>
      <c r="N79" t="s">
        <v>319</v>
      </c>
      <c r="O79" t="s">
        <v>317</v>
      </c>
      <c r="P79" t="s">
        <v>37</v>
      </c>
    </row>
    <row r="80" spans="1:16" x14ac:dyDescent="0.25">
      <c r="A80" t="s">
        <v>266</v>
      </c>
      <c r="B80" t="s">
        <v>31</v>
      </c>
      <c r="C80" t="str">
        <f t="shared" si="1"/>
        <v>VZB9_S3</v>
      </c>
      <c r="D80" t="s">
        <v>315</v>
      </c>
      <c r="E80">
        <v>3</v>
      </c>
      <c r="F80" t="s">
        <v>316</v>
      </c>
      <c r="G80" t="s">
        <v>320</v>
      </c>
      <c r="H80" t="s">
        <v>138</v>
      </c>
      <c r="I80" t="s">
        <v>42</v>
      </c>
      <c r="J80" t="s">
        <v>37</v>
      </c>
      <c r="K80">
        <v>10</v>
      </c>
      <c r="L80" t="s">
        <v>12</v>
      </c>
      <c r="M80" t="s">
        <v>37</v>
      </c>
      <c r="N80" t="s">
        <v>321</v>
      </c>
      <c r="O80" t="s">
        <v>317</v>
      </c>
      <c r="P80" t="s">
        <v>37</v>
      </c>
    </row>
    <row r="81" spans="1:16" x14ac:dyDescent="0.25">
      <c r="A81" t="s">
        <v>266</v>
      </c>
      <c r="B81" t="s">
        <v>31</v>
      </c>
      <c r="C81" t="str">
        <f t="shared" si="1"/>
        <v>VZB9_S4</v>
      </c>
      <c r="D81" t="s">
        <v>315</v>
      </c>
      <c r="E81">
        <v>4</v>
      </c>
      <c r="F81" t="s">
        <v>316</v>
      </c>
      <c r="G81" t="s">
        <v>322</v>
      </c>
      <c r="H81" t="s">
        <v>138</v>
      </c>
      <c r="I81" t="s">
        <v>42</v>
      </c>
      <c r="J81" t="s">
        <v>37</v>
      </c>
      <c r="K81">
        <v>25</v>
      </c>
      <c r="L81" t="s">
        <v>12</v>
      </c>
      <c r="M81" t="s">
        <v>37</v>
      </c>
      <c r="N81" t="s">
        <v>323</v>
      </c>
      <c r="O81" t="s">
        <v>37</v>
      </c>
      <c r="P81" t="s">
        <v>37</v>
      </c>
    </row>
    <row r="82" spans="1:16" x14ac:dyDescent="0.25">
      <c r="A82" t="s">
        <v>266</v>
      </c>
      <c r="B82" t="s">
        <v>31</v>
      </c>
      <c r="C82" t="str">
        <f t="shared" si="1"/>
        <v>VZB10NA_S1</v>
      </c>
      <c r="D82" t="s">
        <v>324</v>
      </c>
      <c r="E82">
        <v>1</v>
      </c>
      <c r="F82" t="s">
        <v>325</v>
      </c>
      <c r="G82" t="s">
        <v>326</v>
      </c>
      <c r="H82" t="s">
        <v>138</v>
      </c>
      <c r="I82" t="s">
        <v>42</v>
      </c>
      <c r="J82" t="s">
        <v>37</v>
      </c>
      <c r="K82">
        <v>10</v>
      </c>
      <c r="L82" t="s">
        <v>12</v>
      </c>
      <c r="M82" t="s">
        <v>37</v>
      </c>
      <c r="N82" t="s">
        <v>127</v>
      </c>
      <c r="O82" t="s">
        <v>37</v>
      </c>
      <c r="P82" t="s">
        <v>37</v>
      </c>
    </row>
    <row r="83" spans="1:16" x14ac:dyDescent="0.25">
      <c r="A83" t="s">
        <v>266</v>
      </c>
      <c r="B83" t="s">
        <v>31</v>
      </c>
      <c r="C83" t="str">
        <f t="shared" si="1"/>
        <v>VZB10NA_S2</v>
      </c>
      <c r="D83" t="s">
        <v>324</v>
      </c>
      <c r="E83">
        <v>2</v>
      </c>
      <c r="F83" t="s">
        <v>325</v>
      </c>
      <c r="G83" t="s">
        <v>327</v>
      </c>
      <c r="H83" t="s">
        <v>138</v>
      </c>
      <c r="I83" t="s">
        <v>42</v>
      </c>
      <c r="J83" t="s">
        <v>37</v>
      </c>
      <c r="K83">
        <v>10</v>
      </c>
      <c r="L83" t="s">
        <v>12</v>
      </c>
      <c r="M83" t="s">
        <v>37</v>
      </c>
      <c r="N83" t="s">
        <v>328</v>
      </c>
      <c r="O83" t="s">
        <v>37</v>
      </c>
      <c r="P83" t="s">
        <v>37</v>
      </c>
    </row>
    <row r="84" spans="1:16" x14ac:dyDescent="0.25">
      <c r="A84" t="s">
        <v>266</v>
      </c>
      <c r="B84" t="s">
        <v>31</v>
      </c>
      <c r="C84" t="str">
        <f t="shared" si="1"/>
        <v>VZB10NA_S3</v>
      </c>
      <c r="D84" t="s">
        <v>324</v>
      </c>
      <c r="E84">
        <v>3</v>
      </c>
      <c r="F84" t="s">
        <v>325</v>
      </c>
      <c r="G84" t="s">
        <v>329</v>
      </c>
      <c r="H84" t="s">
        <v>138</v>
      </c>
      <c r="I84" t="s">
        <v>42</v>
      </c>
      <c r="J84" t="s">
        <v>37</v>
      </c>
      <c r="K84">
        <v>10</v>
      </c>
      <c r="L84" t="s">
        <v>12</v>
      </c>
      <c r="M84" t="s">
        <v>37</v>
      </c>
      <c r="N84" t="s">
        <v>330</v>
      </c>
      <c r="O84" t="s">
        <v>37</v>
      </c>
      <c r="P84" t="s">
        <v>37</v>
      </c>
    </row>
    <row r="85" spans="1:16" x14ac:dyDescent="0.25">
      <c r="A85" t="s">
        <v>266</v>
      </c>
      <c r="B85" t="s">
        <v>31</v>
      </c>
      <c r="C85" t="str">
        <f t="shared" si="1"/>
        <v>VZB11NA_S1</v>
      </c>
      <c r="D85" t="s">
        <v>331</v>
      </c>
      <c r="E85">
        <v>1</v>
      </c>
      <c r="F85" t="s">
        <v>332</v>
      </c>
      <c r="G85" t="s">
        <v>333</v>
      </c>
      <c r="H85" t="s">
        <v>138</v>
      </c>
      <c r="I85" t="s">
        <v>42</v>
      </c>
      <c r="J85" t="s">
        <v>37</v>
      </c>
      <c r="K85">
        <v>40</v>
      </c>
      <c r="L85" t="s">
        <v>12</v>
      </c>
      <c r="M85" t="s">
        <v>37</v>
      </c>
      <c r="N85" t="s">
        <v>127</v>
      </c>
      <c r="O85" t="s">
        <v>37</v>
      </c>
      <c r="P85" t="s">
        <v>37</v>
      </c>
    </row>
    <row r="86" spans="1:16" x14ac:dyDescent="0.25">
      <c r="A86" t="s">
        <v>266</v>
      </c>
      <c r="B86" t="s">
        <v>31</v>
      </c>
      <c r="C86" t="str">
        <f t="shared" si="1"/>
        <v>VZB11NA_S2</v>
      </c>
      <c r="D86" t="s">
        <v>331</v>
      </c>
      <c r="E86">
        <v>2</v>
      </c>
      <c r="F86" t="s">
        <v>332</v>
      </c>
      <c r="G86" t="s">
        <v>334</v>
      </c>
      <c r="H86" t="s">
        <v>138</v>
      </c>
      <c r="I86" t="s">
        <v>42</v>
      </c>
      <c r="J86" t="s">
        <v>37</v>
      </c>
      <c r="K86">
        <v>52</v>
      </c>
      <c r="L86" t="s">
        <v>12</v>
      </c>
      <c r="M86" t="s">
        <v>37</v>
      </c>
      <c r="N86" t="s">
        <v>335</v>
      </c>
      <c r="O86" t="s">
        <v>37</v>
      </c>
      <c r="P86" t="s">
        <v>37</v>
      </c>
    </row>
    <row r="87" spans="1:16" x14ac:dyDescent="0.25">
      <c r="A87" t="s">
        <v>266</v>
      </c>
      <c r="B87" t="s">
        <v>31</v>
      </c>
      <c r="C87" t="str">
        <f t="shared" si="1"/>
        <v>VZB12_S1</v>
      </c>
      <c r="D87" t="s">
        <v>336</v>
      </c>
      <c r="E87">
        <v>1</v>
      </c>
      <c r="F87" t="s">
        <v>337</v>
      </c>
      <c r="G87" t="s">
        <v>54</v>
      </c>
      <c r="H87" t="s">
        <v>138</v>
      </c>
      <c r="I87" t="s">
        <v>36</v>
      </c>
      <c r="J87">
        <v>7</v>
      </c>
      <c r="K87">
        <v>10</v>
      </c>
      <c r="L87" t="s">
        <v>5</v>
      </c>
      <c r="M87" t="s">
        <v>37</v>
      </c>
      <c r="N87" t="s">
        <v>127</v>
      </c>
      <c r="O87" t="s">
        <v>338</v>
      </c>
      <c r="P87" t="s">
        <v>37</v>
      </c>
    </row>
    <row r="88" spans="1:16" x14ac:dyDescent="0.25">
      <c r="A88" t="s">
        <v>266</v>
      </c>
      <c r="B88" t="s">
        <v>31</v>
      </c>
      <c r="C88" t="str">
        <f t="shared" si="1"/>
        <v>VZB12_S2</v>
      </c>
      <c r="D88" t="s">
        <v>336</v>
      </c>
      <c r="E88">
        <v>2</v>
      </c>
      <c r="F88" t="s">
        <v>337</v>
      </c>
      <c r="G88" t="s">
        <v>339</v>
      </c>
      <c r="H88" t="s">
        <v>138</v>
      </c>
      <c r="I88" t="s">
        <v>36</v>
      </c>
      <c r="J88">
        <v>7</v>
      </c>
      <c r="K88">
        <v>10</v>
      </c>
      <c r="L88" t="s">
        <v>5</v>
      </c>
      <c r="M88" t="s">
        <v>37</v>
      </c>
      <c r="N88" t="s">
        <v>340</v>
      </c>
      <c r="O88" t="s">
        <v>338</v>
      </c>
      <c r="P88" t="s">
        <v>37</v>
      </c>
    </row>
    <row r="89" spans="1:16" x14ac:dyDescent="0.25">
      <c r="A89" t="s">
        <v>266</v>
      </c>
      <c r="B89" t="s">
        <v>31</v>
      </c>
      <c r="C89" t="str">
        <f t="shared" si="1"/>
        <v>VZB12_S3</v>
      </c>
      <c r="D89" t="s">
        <v>336</v>
      </c>
      <c r="E89">
        <v>3</v>
      </c>
      <c r="F89" t="s">
        <v>337</v>
      </c>
      <c r="G89" t="s">
        <v>49</v>
      </c>
      <c r="H89" t="s">
        <v>138</v>
      </c>
      <c r="I89" t="s">
        <v>36</v>
      </c>
      <c r="J89">
        <v>7</v>
      </c>
      <c r="K89">
        <v>50</v>
      </c>
      <c r="L89" t="s">
        <v>5</v>
      </c>
      <c r="M89" t="s">
        <v>37</v>
      </c>
      <c r="N89" t="s">
        <v>341</v>
      </c>
      <c r="O89" t="s">
        <v>37</v>
      </c>
      <c r="P89" t="s">
        <v>37</v>
      </c>
    </row>
    <row r="90" spans="1:16" x14ac:dyDescent="0.25">
      <c r="A90" t="s">
        <v>266</v>
      </c>
      <c r="B90" t="s">
        <v>31</v>
      </c>
      <c r="C90" t="str">
        <f t="shared" si="1"/>
        <v>VZB13NA_S1</v>
      </c>
      <c r="D90" t="s">
        <v>342</v>
      </c>
      <c r="E90">
        <v>1</v>
      </c>
      <c r="F90" t="s">
        <v>343</v>
      </c>
      <c r="G90" t="s">
        <v>344</v>
      </c>
      <c r="H90" t="s">
        <v>138</v>
      </c>
      <c r="I90" t="s">
        <v>42</v>
      </c>
      <c r="J90" t="s">
        <v>37</v>
      </c>
      <c r="K90">
        <v>25</v>
      </c>
      <c r="L90" t="s">
        <v>12</v>
      </c>
      <c r="M90" t="s">
        <v>131</v>
      </c>
      <c r="N90" t="s">
        <v>127</v>
      </c>
      <c r="O90" t="s">
        <v>37</v>
      </c>
      <c r="P90" t="s">
        <v>37</v>
      </c>
    </row>
    <row r="91" spans="1:16" x14ac:dyDescent="0.25">
      <c r="A91" t="s">
        <v>266</v>
      </c>
      <c r="B91" t="s">
        <v>31</v>
      </c>
      <c r="C91" t="str">
        <f t="shared" si="1"/>
        <v>VZB13NA_S2</v>
      </c>
      <c r="D91" t="s">
        <v>342</v>
      </c>
      <c r="E91">
        <v>2</v>
      </c>
      <c r="F91" t="s">
        <v>343</v>
      </c>
      <c r="G91" t="s">
        <v>345</v>
      </c>
      <c r="H91" t="s">
        <v>138</v>
      </c>
      <c r="I91" t="s">
        <v>42</v>
      </c>
      <c r="J91" t="s">
        <v>37</v>
      </c>
      <c r="K91">
        <v>25</v>
      </c>
      <c r="L91" t="s">
        <v>12</v>
      </c>
      <c r="M91" t="s">
        <v>131</v>
      </c>
      <c r="N91" t="s">
        <v>346</v>
      </c>
      <c r="O91" t="s">
        <v>37</v>
      </c>
      <c r="P91" t="s">
        <v>37</v>
      </c>
    </row>
    <row r="92" spans="1:16" x14ac:dyDescent="0.25">
      <c r="A92" t="s">
        <v>266</v>
      </c>
      <c r="B92" t="s">
        <v>31</v>
      </c>
      <c r="C92" t="str">
        <f t="shared" si="1"/>
        <v>VZB13NA_S3</v>
      </c>
      <c r="D92" t="s">
        <v>342</v>
      </c>
      <c r="E92">
        <v>3</v>
      </c>
      <c r="F92" t="s">
        <v>343</v>
      </c>
      <c r="G92" t="s">
        <v>347</v>
      </c>
      <c r="H92" t="s">
        <v>138</v>
      </c>
      <c r="I92" t="s">
        <v>42</v>
      </c>
      <c r="J92" t="s">
        <v>37</v>
      </c>
      <c r="K92">
        <v>25</v>
      </c>
      <c r="L92" t="s">
        <v>12</v>
      </c>
      <c r="M92" t="s">
        <v>131</v>
      </c>
      <c r="N92" t="s">
        <v>348</v>
      </c>
      <c r="O92" t="s">
        <v>37</v>
      </c>
      <c r="P92" t="s">
        <v>37</v>
      </c>
    </row>
    <row r="93" spans="1:16" x14ac:dyDescent="0.25">
      <c r="A93" t="s">
        <v>266</v>
      </c>
      <c r="B93" t="s">
        <v>31</v>
      </c>
      <c r="C93" t="str">
        <f t="shared" si="1"/>
        <v>VZB14NA_S1</v>
      </c>
      <c r="D93" t="s">
        <v>349</v>
      </c>
      <c r="E93">
        <v>1</v>
      </c>
      <c r="F93" t="s">
        <v>350</v>
      </c>
      <c r="G93" t="s">
        <v>351</v>
      </c>
      <c r="H93" t="s">
        <v>138</v>
      </c>
      <c r="I93" t="s">
        <v>42</v>
      </c>
      <c r="J93" t="s">
        <v>37</v>
      </c>
      <c r="K93">
        <v>25</v>
      </c>
      <c r="L93" t="s">
        <v>12</v>
      </c>
      <c r="M93" t="s">
        <v>37</v>
      </c>
      <c r="N93" t="s">
        <v>127</v>
      </c>
      <c r="O93" t="s">
        <v>37</v>
      </c>
      <c r="P93" t="s">
        <v>37</v>
      </c>
    </row>
    <row r="94" spans="1:16" x14ac:dyDescent="0.25">
      <c r="A94" t="s">
        <v>266</v>
      </c>
      <c r="B94" t="s">
        <v>31</v>
      </c>
      <c r="C94" t="str">
        <f t="shared" si="1"/>
        <v>VZB14NA_S2</v>
      </c>
      <c r="D94" t="s">
        <v>349</v>
      </c>
      <c r="E94">
        <v>2</v>
      </c>
      <c r="F94" t="s">
        <v>350</v>
      </c>
      <c r="G94" t="s">
        <v>352</v>
      </c>
      <c r="H94" t="s">
        <v>138</v>
      </c>
      <c r="I94" t="s">
        <v>42</v>
      </c>
      <c r="J94" t="s">
        <v>37</v>
      </c>
      <c r="K94">
        <v>25</v>
      </c>
      <c r="L94" t="s">
        <v>12</v>
      </c>
      <c r="M94" t="s">
        <v>37</v>
      </c>
      <c r="N94" t="s">
        <v>353</v>
      </c>
      <c r="O94" t="s">
        <v>37</v>
      </c>
      <c r="P94" t="s">
        <v>37</v>
      </c>
    </row>
    <row r="95" spans="1:16" x14ac:dyDescent="0.25">
      <c r="A95" t="s">
        <v>266</v>
      </c>
      <c r="B95" t="s">
        <v>31</v>
      </c>
      <c r="C95" t="str">
        <f t="shared" si="1"/>
        <v>VZB14NA_S3a</v>
      </c>
      <c r="D95" t="s">
        <v>349</v>
      </c>
      <c r="E95" t="s">
        <v>40</v>
      </c>
      <c r="F95" t="s">
        <v>350</v>
      </c>
      <c r="G95" t="s">
        <v>49</v>
      </c>
      <c r="H95" t="s">
        <v>138</v>
      </c>
      <c r="I95" t="s">
        <v>42</v>
      </c>
      <c r="J95" t="s">
        <v>37</v>
      </c>
      <c r="K95">
        <v>50</v>
      </c>
      <c r="L95" t="s">
        <v>12</v>
      </c>
      <c r="M95" t="s">
        <v>37</v>
      </c>
      <c r="N95" t="s">
        <v>354</v>
      </c>
      <c r="O95" t="s">
        <v>37</v>
      </c>
      <c r="P95" t="s">
        <v>355</v>
      </c>
    </row>
    <row r="96" spans="1:16" x14ac:dyDescent="0.25">
      <c r="A96" t="s">
        <v>266</v>
      </c>
      <c r="B96" t="s">
        <v>31</v>
      </c>
      <c r="C96" t="str">
        <f t="shared" si="1"/>
        <v>VZB14NA_S3b</v>
      </c>
      <c r="D96" t="s">
        <v>349</v>
      </c>
      <c r="E96" t="s">
        <v>44</v>
      </c>
      <c r="F96" t="s">
        <v>350</v>
      </c>
      <c r="G96" t="s">
        <v>356</v>
      </c>
      <c r="H96" t="s">
        <v>138</v>
      </c>
      <c r="I96" t="s">
        <v>42</v>
      </c>
      <c r="J96" t="s">
        <v>37</v>
      </c>
      <c r="K96">
        <v>90</v>
      </c>
      <c r="L96" t="s">
        <v>12</v>
      </c>
      <c r="M96" t="s">
        <v>37</v>
      </c>
      <c r="N96" t="s">
        <v>354</v>
      </c>
      <c r="O96" t="s">
        <v>37</v>
      </c>
      <c r="P96" t="s">
        <v>357</v>
      </c>
    </row>
    <row r="97" spans="1:16" x14ac:dyDescent="0.25">
      <c r="A97" t="s">
        <v>266</v>
      </c>
      <c r="B97" t="s">
        <v>31</v>
      </c>
      <c r="C97" t="str">
        <f t="shared" si="1"/>
        <v>VZB15_S1</v>
      </c>
      <c r="D97" t="s">
        <v>358</v>
      </c>
      <c r="E97">
        <v>1</v>
      </c>
      <c r="F97" t="s">
        <v>359</v>
      </c>
      <c r="G97" t="s">
        <v>54</v>
      </c>
      <c r="H97" t="s">
        <v>138</v>
      </c>
      <c r="I97" t="s">
        <v>36</v>
      </c>
      <c r="J97">
        <v>3</v>
      </c>
      <c r="K97">
        <v>0</v>
      </c>
      <c r="L97" t="s">
        <v>5</v>
      </c>
      <c r="M97" t="s">
        <v>37</v>
      </c>
      <c r="N97" t="s">
        <v>127</v>
      </c>
      <c r="O97" t="s">
        <v>360</v>
      </c>
      <c r="P97" t="s">
        <v>37</v>
      </c>
    </row>
    <row r="98" spans="1:16" x14ac:dyDescent="0.25">
      <c r="A98" t="s">
        <v>266</v>
      </c>
      <c r="B98" t="s">
        <v>31</v>
      </c>
      <c r="C98" t="str">
        <f t="shared" si="1"/>
        <v>VZB15_S2</v>
      </c>
      <c r="D98" t="s">
        <v>358</v>
      </c>
      <c r="E98">
        <v>2</v>
      </c>
      <c r="F98" t="s">
        <v>359</v>
      </c>
      <c r="G98" t="s">
        <v>361</v>
      </c>
      <c r="H98" t="s">
        <v>138</v>
      </c>
      <c r="I98" t="s">
        <v>36</v>
      </c>
      <c r="J98">
        <v>3</v>
      </c>
      <c r="K98">
        <v>10</v>
      </c>
      <c r="L98" t="s">
        <v>5</v>
      </c>
      <c r="M98" t="s">
        <v>37</v>
      </c>
      <c r="N98" t="s">
        <v>362</v>
      </c>
      <c r="O98" t="s">
        <v>360</v>
      </c>
      <c r="P98" t="s">
        <v>37</v>
      </c>
    </row>
    <row r="99" spans="1:16" x14ac:dyDescent="0.25">
      <c r="A99" t="s">
        <v>266</v>
      </c>
      <c r="B99" t="s">
        <v>31</v>
      </c>
      <c r="C99" t="str">
        <f t="shared" si="1"/>
        <v>VZB15_S3</v>
      </c>
      <c r="D99" t="s">
        <v>358</v>
      </c>
      <c r="E99">
        <v>3</v>
      </c>
      <c r="F99" t="s">
        <v>359</v>
      </c>
      <c r="G99" t="s">
        <v>363</v>
      </c>
      <c r="H99" t="s">
        <v>138</v>
      </c>
      <c r="I99" t="s">
        <v>36</v>
      </c>
      <c r="J99">
        <v>3</v>
      </c>
      <c r="K99">
        <v>10</v>
      </c>
      <c r="L99" t="s">
        <v>5</v>
      </c>
      <c r="M99" t="s">
        <v>37</v>
      </c>
      <c r="N99" t="s">
        <v>364</v>
      </c>
      <c r="O99" t="s">
        <v>37</v>
      </c>
      <c r="P99" t="s">
        <v>37</v>
      </c>
    </row>
    <row r="100" spans="1:16" x14ac:dyDescent="0.25">
      <c r="A100" t="s">
        <v>266</v>
      </c>
      <c r="B100" t="s">
        <v>31</v>
      </c>
      <c r="C100" t="str">
        <f t="shared" si="1"/>
        <v>VZB15_S4</v>
      </c>
      <c r="D100" t="s">
        <v>358</v>
      </c>
      <c r="E100">
        <v>4</v>
      </c>
      <c r="F100" t="s">
        <v>359</v>
      </c>
      <c r="G100" t="s">
        <v>365</v>
      </c>
      <c r="H100" t="s">
        <v>138</v>
      </c>
      <c r="I100" t="s">
        <v>36</v>
      </c>
      <c r="J100">
        <v>3</v>
      </c>
      <c r="K100">
        <v>10</v>
      </c>
      <c r="L100" t="s">
        <v>5</v>
      </c>
      <c r="M100" t="s">
        <v>37</v>
      </c>
      <c r="N100" t="s">
        <v>366</v>
      </c>
      <c r="O100" t="s">
        <v>37</v>
      </c>
      <c r="P100" t="s">
        <v>37</v>
      </c>
    </row>
    <row r="101" spans="1:16" x14ac:dyDescent="0.25">
      <c r="A101" t="s">
        <v>266</v>
      </c>
      <c r="B101" t="s">
        <v>31</v>
      </c>
      <c r="C101" t="str">
        <f t="shared" si="1"/>
        <v>VZB15_S5</v>
      </c>
      <c r="D101" t="s">
        <v>358</v>
      </c>
      <c r="E101">
        <v>5</v>
      </c>
      <c r="F101" t="s">
        <v>359</v>
      </c>
      <c r="G101" t="s">
        <v>367</v>
      </c>
      <c r="H101" t="s">
        <v>138</v>
      </c>
      <c r="I101" t="s">
        <v>36</v>
      </c>
      <c r="J101">
        <v>3</v>
      </c>
      <c r="K101">
        <v>25</v>
      </c>
      <c r="L101" t="s">
        <v>5</v>
      </c>
      <c r="M101" t="s">
        <v>37</v>
      </c>
      <c r="N101" t="s">
        <v>368</v>
      </c>
      <c r="O101" t="s">
        <v>37</v>
      </c>
      <c r="P101" t="s">
        <v>37</v>
      </c>
    </row>
    <row r="102" spans="1:16" x14ac:dyDescent="0.25">
      <c r="A102" t="s">
        <v>266</v>
      </c>
      <c r="B102" t="s">
        <v>31</v>
      </c>
      <c r="C102" t="str">
        <f t="shared" si="1"/>
        <v>VZB15_S6</v>
      </c>
      <c r="D102" t="s">
        <v>358</v>
      </c>
      <c r="E102">
        <v>6</v>
      </c>
      <c r="F102" t="s">
        <v>359</v>
      </c>
      <c r="G102" t="s">
        <v>49</v>
      </c>
      <c r="H102" t="s">
        <v>138</v>
      </c>
      <c r="I102" t="s">
        <v>36</v>
      </c>
      <c r="J102">
        <v>3</v>
      </c>
      <c r="K102">
        <v>50</v>
      </c>
      <c r="L102" t="s">
        <v>5</v>
      </c>
      <c r="M102" t="s">
        <v>37</v>
      </c>
      <c r="N102" t="s">
        <v>369</v>
      </c>
      <c r="O102" t="s">
        <v>37</v>
      </c>
      <c r="P102" t="s">
        <v>37</v>
      </c>
    </row>
    <row r="103" spans="1:16" x14ac:dyDescent="0.25">
      <c r="A103" t="s">
        <v>266</v>
      </c>
      <c r="B103" t="s">
        <v>31</v>
      </c>
      <c r="C103" t="str">
        <f t="shared" si="1"/>
        <v>VZB16_S1</v>
      </c>
      <c r="D103" t="s">
        <v>370</v>
      </c>
      <c r="E103">
        <v>1</v>
      </c>
      <c r="F103" t="s">
        <v>371</v>
      </c>
      <c r="G103" t="s">
        <v>54</v>
      </c>
      <c r="H103" t="s">
        <v>138</v>
      </c>
      <c r="I103" t="s">
        <v>36</v>
      </c>
      <c r="J103">
        <v>5</v>
      </c>
      <c r="K103">
        <v>0</v>
      </c>
      <c r="L103" t="s">
        <v>5</v>
      </c>
      <c r="M103" t="s">
        <v>37</v>
      </c>
      <c r="N103" t="s">
        <v>127</v>
      </c>
      <c r="O103" t="s">
        <v>372</v>
      </c>
      <c r="P103" t="s">
        <v>37</v>
      </c>
    </row>
    <row r="104" spans="1:16" x14ac:dyDescent="0.25">
      <c r="A104" t="s">
        <v>266</v>
      </c>
      <c r="B104" t="s">
        <v>31</v>
      </c>
      <c r="C104" t="str">
        <f t="shared" si="1"/>
        <v>VZB16_S2</v>
      </c>
      <c r="D104" t="s">
        <v>370</v>
      </c>
      <c r="E104">
        <v>2</v>
      </c>
      <c r="F104" t="s">
        <v>371</v>
      </c>
      <c r="G104" t="s">
        <v>49</v>
      </c>
      <c r="H104" t="s">
        <v>138</v>
      </c>
      <c r="I104" t="s">
        <v>36</v>
      </c>
      <c r="J104">
        <v>5</v>
      </c>
      <c r="K104">
        <v>25</v>
      </c>
      <c r="L104" t="s">
        <v>5</v>
      </c>
      <c r="M104" t="s">
        <v>37</v>
      </c>
      <c r="N104" t="s">
        <v>373</v>
      </c>
      <c r="O104" t="s">
        <v>372</v>
      </c>
      <c r="P104" t="s">
        <v>37</v>
      </c>
    </row>
    <row r="105" spans="1:16" x14ac:dyDescent="0.25">
      <c r="A105" t="s">
        <v>266</v>
      </c>
      <c r="B105" t="s">
        <v>31</v>
      </c>
      <c r="C105" t="str">
        <f t="shared" si="1"/>
        <v>VZB17_S1</v>
      </c>
      <c r="D105" t="s">
        <v>374</v>
      </c>
      <c r="E105">
        <v>1</v>
      </c>
      <c r="F105" t="s">
        <v>375</v>
      </c>
      <c r="G105" t="s">
        <v>54</v>
      </c>
      <c r="H105" t="s">
        <v>138</v>
      </c>
      <c r="I105" t="s">
        <v>36</v>
      </c>
      <c r="J105">
        <v>5</v>
      </c>
      <c r="K105">
        <v>0</v>
      </c>
      <c r="L105" t="s">
        <v>5</v>
      </c>
      <c r="M105" t="s">
        <v>131</v>
      </c>
      <c r="N105" t="s">
        <v>160</v>
      </c>
      <c r="O105" t="s">
        <v>376</v>
      </c>
      <c r="P105" t="s">
        <v>37</v>
      </c>
    </row>
    <row r="106" spans="1:16" x14ac:dyDescent="0.25">
      <c r="A106" t="s">
        <v>266</v>
      </c>
      <c r="B106" t="s">
        <v>31</v>
      </c>
      <c r="C106" t="str">
        <f t="shared" si="1"/>
        <v>VZB17_S2</v>
      </c>
      <c r="D106" t="s">
        <v>374</v>
      </c>
      <c r="E106">
        <v>2</v>
      </c>
      <c r="F106" t="s">
        <v>375</v>
      </c>
      <c r="G106" t="s">
        <v>49</v>
      </c>
      <c r="H106" t="s">
        <v>138</v>
      </c>
      <c r="I106" t="s">
        <v>36</v>
      </c>
      <c r="J106">
        <v>5</v>
      </c>
      <c r="K106">
        <v>100</v>
      </c>
      <c r="L106" t="s">
        <v>5</v>
      </c>
      <c r="M106" t="s">
        <v>131</v>
      </c>
      <c r="N106" t="s">
        <v>377</v>
      </c>
      <c r="O106" t="s">
        <v>376</v>
      </c>
      <c r="P106" t="s">
        <v>37</v>
      </c>
    </row>
    <row r="107" spans="1:16" x14ac:dyDescent="0.25">
      <c r="A107" t="s">
        <v>266</v>
      </c>
      <c r="B107" t="s">
        <v>31</v>
      </c>
      <c r="C107" t="str">
        <f t="shared" si="1"/>
        <v>VZB18_S1</v>
      </c>
      <c r="D107" t="s">
        <v>378</v>
      </c>
      <c r="E107">
        <v>1</v>
      </c>
      <c r="F107" t="s">
        <v>379</v>
      </c>
      <c r="G107" t="s">
        <v>54</v>
      </c>
      <c r="H107" t="s">
        <v>138</v>
      </c>
      <c r="I107" t="s">
        <v>36</v>
      </c>
      <c r="J107">
        <v>6</v>
      </c>
      <c r="K107">
        <v>0</v>
      </c>
      <c r="L107" t="s">
        <v>5</v>
      </c>
      <c r="M107" t="s">
        <v>131</v>
      </c>
      <c r="N107" t="s">
        <v>380</v>
      </c>
      <c r="O107" t="s">
        <v>381</v>
      </c>
      <c r="P107" t="s">
        <v>37</v>
      </c>
    </row>
    <row r="108" spans="1:16" x14ac:dyDescent="0.25">
      <c r="A108" t="s">
        <v>266</v>
      </c>
      <c r="B108" t="s">
        <v>31</v>
      </c>
      <c r="C108" t="str">
        <f t="shared" si="1"/>
        <v>VZB18_S2</v>
      </c>
      <c r="D108" t="s">
        <v>378</v>
      </c>
      <c r="E108">
        <v>2</v>
      </c>
      <c r="F108" t="s">
        <v>379</v>
      </c>
      <c r="G108" t="s">
        <v>49</v>
      </c>
      <c r="H108" t="s">
        <v>138</v>
      </c>
      <c r="I108" t="s">
        <v>36</v>
      </c>
      <c r="J108">
        <v>6</v>
      </c>
      <c r="K108">
        <v>125</v>
      </c>
      <c r="L108" t="s">
        <v>5</v>
      </c>
      <c r="M108" t="s">
        <v>131</v>
      </c>
      <c r="N108" t="s">
        <v>382</v>
      </c>
      <c r="O108" t="s">
        <v>381</v>
      </c>
      <c r="P108" t="s">
        <v>37</v>
      </c>
    </row>
    <row r="109" spans="1:16" x14ac:dyDescent="0.25">
      <c r="A109" t="s">
        <v>266</v>
      </c>
      <c r="B109" t="s">
        <v>31</v>
      </c>
      <c r="C109" t="str">
        <f t="shared" si="1"/>
        <v>VZB19_S1</v>
      </c>
      <c r="D109" t="s">
        <v>383</v>
      </c>
      <c r="E109">
        <v>1</v>
      </c>
      <c r="F109" t="s">
        <v>384</v>
      </c>
      <c r="G109" t="s">
        <v>54</v>
      </c>
      <c r="H109" t="s">
        <v>138</v>
      </c>
      <c r="I109" t="s">
        <v>36</v>
      </c>
      <c r="J109">
        <v>6</v>
      </c>
      <c r="K109">
        <v>0</v>
      </c>
      <c r="L109" t="s">
        <v>5</v>
      </c>
      <c r="M109" t="s">
        <v>37</v>
      </c>
      <c r="N109" t="s">
        <v>385</v>
      </c>
      <c r="O109" t="s">
        <v>386</v>
      </c>
      <c r="P109" t="s">
        <v>37</v>
      </c>
    </row>
    <row r="110" spans="1:16" x14ac:dyDescent="0.25">
      <c r="A110" t="s">
        <v>266</v>
      </c>
      <c r="B110" t="s">
        <v>31</v>
      </c>
      <c r="C110" t="str">
        <f t="shared" si="1"/>
        <v>VZB19_S2</v>
      </c>
      <c r="D110" t="s">
        <v>383</v>
      </c>
      <c r="E110">
        <v>2</v>
      </c>
      <c r="F110" t="s">
        <v>384</v>
      </c>
      <c r="G110" t="s">
        <v>49</v>
      </c>
      <c r="H110" t="s">
        <v>138</v>
      </c>
      <c r="I110" t="s">
        <v>36</v>
      </c>
      <c r="J110">
        <v>6</v>
      </c>
      <c r="K110">
        <v>100</v>
      </c>
      <c r="L110" t="s">
        <v>5</v>
      </c>
      <c r="M110" t="s">
        <v>37</v>
      </c>
      <c r="N110" t="s">
        <v>224</v>
      </c>
      <c r="O110" t="s">
        <v>386</v>
      </c>
      <c r="P110" t="s">
        <v>37</v>
      </c>
    </row>
    <row r="111" spans="1:16" x14ac:dyDescent="0.25">
      <c r="A111" t="s">
        <v>266</v>
      </c>
      <c r="B111" t="s">
        <v>31</v>
      </c>
      <c r="C111" t="str">
        <f t="shared" si="1"/>
        <v>VZB20_S1</v>
      </c>
      <c r="D111" t="s">
        <v>387</v>
      </c>
      <c r="E111">
        <v>1</v>
      </c>
      <c r="F111" t="s">
        <v>388</v>
      </c>
      <c r="G111" t="s">
        <v>54</v>
      </c>
      <c r="H111" t="s">
        <v>138</v>
      </c>
      <c r="I111" t="s">
        <v>36</v>
      </c>
      <c r="J111">
        <v>6</v>
      </c>
      <c r="K111">
        <v>0</v>
      </c>
      <c r="L111" t="s">
        <v>5</v>
      </c>
      <c r="M111" t="s">
        <v>131</v>
      </c>
      <c r="N111" t="s">
        <v>389</v>
      </c>
      <c r="O111" t="s">
        <v>390</v>
      </c>
      <c r="P111" t="s">
        <v>37</v>
      </c>
    </row>
    <row r="112" spans="1:16" x14ac:dyDescent="0.25">
      <c r="A112" t="s">
        <v>266</v>
      </c>
      <c r="B112" t="s">
        <v>31</v>
      </c>
      <c r="C112" t="str">
        <f t="shared" si="1"/>
        <v>VZB20_S2</v>
      </c>
      <c r="D112" t="s">
        <v>387</v>
      </c>
      <c r="E112">
        <v>2</v>
      </c>
      <c r="F112" t="s">
        <v>388</v>
      </c>
      <c r="G112" t="s">
        <v>391</v>
      </c>
      <c r="H112" t="s">
        <v>138</v>
      </c>
      <c r="I112" t="s">
        <v>36</v>
      </c>
      <c r="J112">
        <v>6</v>
      </c>
      <c r="K112">
        <v>50</v>
      </c>
      <c r="L112" t="s">
        <v>5</v>
      </c>
      <c r="M112" t="s">
        <v>131</v>
      </c>
      <c r="N112" t="s">
        <v>392</v>
      </c>
      <c r="O112" t="s">
        <v>390</v>
      </c>
      <c r="P112" t="s">
        <v>37</v>
      </c>
    </row>
    <row r="113" spans="1:16" x14ac:dyDescent="0.25">
      <c r="A113" t="s">
        <v>266</v>
      </c>
      <c r="B113" t="s">
        <v>31</v>
      </c>
      <c r="C113" t="str">
        <f t="shared" si="1"/>
        <v>VZB20_S3</v>
      </c>
      <c r="D113" t="s">
        <v>387</v>
      </c>
      <c r="E113">
        <v>3</v>
      </c>
      <c r="F113" t="s">
        <v>388</v>
      </c>
      <c r="G113" t="s">
        <v>393</v>
      </c>
      <c r="H113" t="s">
        <v>138</v>
      </c>
      <c r="I113" t="s">
        <v>36</v>
      </c>
      <c r="J113">
        <v>6</v>
      </c>
      <c r="K113">
        <v>50</v>
      </c>
      <c r="L113" t="s">
        <v>5</v>
      </c>
      <c r="M113" t="s">
        <v>131</v>
      </c>
      <c r="N113" t="s">
        <v>394</v>
      </c>
      <c r="O113" t="s">
        <v>390</v>
      </c>
      <c r="P113" t="s">
        <v>37</v>
      </c>
    </row>
    <row r="114" spans="1:16" x14ac:dyDescent="0.25">
      <c r="A114" t="s">
        <v>266</v>
      </c>
      <c r="B114" t="s">
        <v>31</v>
      </c>
      <c r="C114" t="str">
        <f t="shared" si="1"/>
        <v>VZB20_S4</v>
      </c>
      <c r="D114" t="s">
        <v>387</v>
      </c>
      <c r="E114">
        <v>4</v>
      </c>
      <c r="F114" t="s">
        <v>388</v>
      </c>
      <c r="G114" t="s">
        <v>395</v>
      </c>
      <c r="H114" t="s">
        <v>138</v>
      </c>
      <c r="I114" t="s">
        <v>36</v>
      </c>
      <c r="J114">
        <v>6</v>
      </c>
      <c r="K114">
        <v>50</v>
      </c>
      <c r="L114" t="s">
        <v>5</v>
      </c>
      <c r="M114" t="s">
        <v>131</v>
      </c>
      <c r="N114" t="s">
        <v>396</v>
      </c>
      <c r="O114" t="s">
        <v>390</v>
      </c>
      <c r="P114" t="s">
        <v>37</v>
      </c>
    </row>
    <row r="115" spans="1:16" x14ac:dyDescent="0.25">
      <c r="A115" t="s">
        <v>266</v>
      </c>
      <c r="B115" t="s">
        <v>31</v>
      </c>
      <c r="C115" t="str">
        <f t="shared" si="1"/>
        <v>VZB20_S5</v>
      </c>
      <c r="D115" t="s">
        <v>387</v>
      </c>
      <c r="E115">
        <v>5</v>
      </c>
      <c r="F115" t="s">
        <v>388</v>
      </c>
      <c r="G115" t="s">
        <v>397</v>
      </c>
      <c r="H115" t="s">
        <v>138</v>
      </c>
      <c r="I115" t="s">
        <v>36</v>
      </c>
      <c r="J115">
        <v>6</v>
      </c>
      <c r="K115">
        <v>50</v>
      </c>
      <c r="L115" t="s">
        <v>5</v>
      </c>
      <c r="M115" t="s">
        <v>131</v>
      </c>
      <c r="N115" t="s">
        <v>398</v>
      </c>
      <c r="O115" t="s">
        <v>390</v>
      </c>
      <c r="P115" t="s">
        <v>37</v>
      </c>
    </row>
    <row r="116" spans="1:16" x14ac:dyDescent="0.25">
      <c r="A116" t="s">
        <v>266</v>
      </c>
      <c r="B116" t="s">
        <v>31</v>
      </c>
      <c r="C116" t="str">
        <f t="shared" si="1"/>
        <v>VZB20_S6</v>
      </c>
      <c r="D116" t="s">
        <v>387</v>
      </c>
      <c r="E116">
        <v>6</v>
      </c>
      <c r="F116" t="s">
        <v>388</v>
      </c>
      <c r="G116" t="s">
        <v>399</v>
      </c>
      <c r="H116" t="s">
        <v>138</v>
      </c>
      <c r="I116" t="s">
        <v>36</v>
      </c>
      <c r="J116">
        <v>6</v>
      </c>
      <c r="K116">
        <v>50</v>
      </c>
      <c r="L116" t="s">
        <v>5</v>
      </c>
      <c r="M116" t="s">
        <v>131</v>
      </c>
      <c r="N116" t="s">
        <v>400</v>
      </c>
      <c r="O116" t="s">
        <v>390</v>
      </c>
      <c r="P116" t="s">
        <v>37</v>
      </c>
    </row>
    <row r="117" spans="1:16" x14ac:dyDescent="0.25">
      <c r="A117" t="s">
        <v>266</v>
      </c>
      <c r="B117" t="s">
        <v>31</v>
      </c>
      <c r="C117" t="str">
        <f t="shared" si="1"/>
        <v>VZB20_S7</v>
      </c>
      <c r="D117" t="s">
        <v>387</v>
      </c>
      <c r="E117">
        <v>7</v>
      </c>
      <c r="F117" t="s">
        <v>388</v>
      </c>
      <c r="G117" t="s">
        <v>401</v>
      </c>
      <c r="H117" t="s">
        <v>138</v>
      </c>
      <c r="I117" t="s">
        <v>36</v>
      </c>
      <c r="J117">
        <v>6</v>
      </c>
      <c r="K117">
        <v>50</v>
      </c>
      <c r="L117" t="s">
        <v>5</v>
      </c>
      <c r="M117" t="s">
        <v>131</v>
      </c>
      <c r="N117" t="s">
        <v>402</v>
      </c>
      <c r="O117" t="s">
        <v>390</v>
      </c>
      <c r="P117" t="s">
        <v>37</v>
      </c>
    </row>
    <row r="118" spans="1:16" x14ac:dyDescent="0.25">
      <c r="A118" t="s">
        <v>266</v>
      </c>
      <c r="B118" t="s">
        <v>31</v>
      </c>
      <c r="C118" t="str">
        <f t="shared" si="1"/>
        <v>VZB20_S8</v>
      </c>
      <c r="D118" t="s">
        <v>387</v>
      </c>
      <c r="E118">
        <v>8</v>
      </c>
      <c r="F118" t="s">
        <v>388</v>
      </c>
      <c r="G118" t="s">
        <v>403</v>
      </c>
      <c r="H118" t="s">
        <v>138</v>
      </c>
      <c r="I118" t="s">
        <v>36</v>
      </c>
      <c r="J118">
        <v>6</v>
      </c>
      <c r="K118">
        <v>100</v>
      </c>
      <c r="L118" t="s">
        <v>5</v>
      </c>
      <c r="M118" t="s">
        <v>131</v>
      </c>
      <c r="N118" t="s">
        <v>404</v>
      </c>
      <c r="O118" t="s">
        <v>390</v>
      </c>
      <c r="P118" t="s">
        <v>37</v>
      </c>
    </row>
    <row r="119" spans="1:16" x14ac:dyDescent="0.25">
      <c r="A119" t="s">
        <v>266</v>
      </c>
      <c r="B119" t="s">
        <v>31</v>
      </c>
      <c r="C119" t="str">
        <f t="shared" si="1"/>
        <v>VZB20_S9</v>
      </c>
      <c r="D119" t="s">
        <v>387</v>
      </c>
      <c r="E119">
        <v>9</v>
      </c>
      <c r="F119" t="s">
        <v>388</v>
      </c>
      <c r="G119" t="s">
        <v>405</v>
      </c>
      <c r="H119" t="s">
        <v>138</v>
      </c>
      <c r="I119" t="s">
        <v>36</v>
      </c>
      <c r="J119">
        <v>6</v>
      </c>
      <c r="K119">
        <v>100</v>
      </c>
      <c r="L119" t="s">
        <v>5</v>
      </c>
      <c r="M119" t="s">
        <v>131</v>
      </c>
      <c r="N119" t="s">
        <v>406</v>
      </c>
      <c r="O119" t="s">
        <v>390</v>
      </c>
      <c r="P119" t="s">
        <v>37</v>
      </c>
    </row>
    <row r="120" spans="1:16" x14ac:dyDescent="0.25">
      <c r="A120" t="s">
        <v>266</v>
      </c>
      <c r="B120" t="s">
        <v>31</v>
      </c>
      <c r="C120" t="str">
        <f t="shared" si="1"/>
        <v>VZB20_S10a</v>
      </c>
      <c r="D120" t="s">
        <v>387</v>
      </c>
      <c r="E120" t="s">
        <v>407</v>
      </c>
      <c r="F120" t="s">
        <v>388</v>
      </c>
      <c r="G120" t="s">
        <v>408</v>
      </c>
      <c r="H120" t="s">
        <v>138</v>
      </c>
      <c r="I120" t="s">
        <v>36</v>
      </c>
      <c r="J120">
        <v>6</v>
      </c>
      <c r="K120">
        <v>500</v>
      </c>
      <c r="L120" t="s">
        <v>5</v>
      </c>
      <c r="M120" t="s">
        <v>131</v>
      </c>
      <c r="N120" t="s">
        <v>409</v>
      </c>
      <c r="O120" t="s">
        <v>390</v>
      </c>
      <c r="P120" t="s">
        <v>410</v>
      </c>
    </row>
    <row r="121" spans="1:16" x14ac:dyDescent="0.25">
      <c r="A121" t="s">
        <v>266</v>
      </c>
      <c r="B121" t="s">
        <v>31</v>
      </c>
      <c r="C121" t="str">
        <f t="shared" si="1"/>
        <v>VZB20_S10b</v>
      </c>
      <c r="D121" t="s">
        <v>387</v>
      </c>
      <c r="E121" t="s">
        <v>411</v>
      </c>
      <c r="F121" t="s">
        <v>388</v>
      </c>
      <c r="G121" t="s">
        <v>412</v>
      </c>
      <c r="H121" t="s">
        <v>138</v>
      </c>
      <c r="I121" t="s">
        <v>36</v>
      </c>
      <c r="J121">
        <v>6</v>
      </c>
      <c r="K121">
        <v>300</v>
      </c>
      <c r="L121" t="s">
        <v>5</v>
      </c>
      <c r="M121" t="s">
        <v>131</v>
      </c>
      <c r="N121" t="s">
        <v>409</v>
      </c>
      <c r="O121" t="s">
        <v>390</v>
      </c>
      <c r="P121" t="s">
        <v>413</v>
      </c>
    </row>
    <row r="122" spans="1:16" x14ac:dyDescent="0.25">
      <c r="A122" t="s">
        <v>266</v>
      </c>
      <c r="B122" t="s">
        <v>31</v>
      </c>
      <c r="C122" t="str">
        <f t="shared" si="1"/>
        <v>VZB21_S1</v>
      </c>
      <c r="D122" t="s">
        <v>414</v>
      </c>
      <c r="E122">
        <v>1</v>
      </c>
      <c r="F122" t="s">
        <v>415</v>
      </c>
      <c r="G122" t="s">
        <v>54</v>
      </c>
      <c r="H122" t="s">
        <v>138</v>
      </c>
      <c r="I122" t="s">
        <v>36</v>
      </c>
      <c r="J122">
        <v>6</v>
      </c>
      <c r="K122">
        <v>0</v>
      </c>
      <c r="L122" t="s">
        <v>5</v>
      </c>
      <c r="M122" t="s">
        <v>131</v>
      </c>
      <c r="N122" t="s">
        <v>416</v>
      </c>
      <c r="O122" t="s">
        <v>417</v>
      </c>
      <c r="P122" t="s">
        <v>37</v>
      </c>
    </row>
    <row r="123" spans="1:16" x14ac:dyDescent="0.25">
      <c r="A123" t="s">
        <v>266</v>
      </c>
      <c r="B123" t="s">
        <v>31</v>
      </c>
      <c r="C123" t="str">
        <f t="shared" si="1"/>
        <v>VZB21_S2</v>
      </c>
      <c r="D123" t="s">
        <v>414</v>
      </c>
      <c r="E123">
        <v>2</v>
      </c>
      <c r="F123" t="s">
        <v>415</v>
      </c>
      <c r="G123" t="s">
        <v>418</v>
      </c>
      <c r="H123" t="s">
        <v>138</v>
      </c>
      <c r="I123" t="s">
        <v>36</v>
      </c>
      <c r="J123">
        <v>6</v>
      </c>
      <c r="K123">
        <v>25</v>
      </c>
      <c r="L123" t="s">
        <v>5</v>
      </c>
      <c r="M123" t="s">
        <v>131</v>
      </c>
      <c r="N123" t="s">
        <v>419</v>
      </c>
      <c r="O123" t="s">
        <v>417</v>
      </c>
      <c r="P123" t="s">
        <v>37</v>
      </c>
    </row>
    <row r="124" spans="1:16" x14ac:dyDescent="0.25">
      <c r="A124" t="s">
        <v>266</v>
      </c>
      <c r="B124" t="s">
        <v>31</v>
      </c>
      <c r="C124" t="str">
        <f t="shared" si="1"/>
        <v>VZB21_S3</v>
      </c>
      <c r="D124" t="s">
        <v>414</v>
      </c>
      <c r="E124">
        <v>3</v>
      </c>
      <c r="F124" t="s">
        <v>415</v>
      </c>
      <c r="G124" t="s">
        <v>49</v>
      </c>
      <c r="H124" t="s">
        <v>138</v>
      </c>
      <c r="I124" t="s">
        <v>36</v>
      </c>
      <c r="J124">
        <v>6</v>
      </c>
      <c r="K124">
        <v>130</v>
      </c>
      <c r="L124" t="s">
        <v>5</v>
      </c>
      <c r="M124" t="s">
        <v>131</v>
      </c>
      <c r="N124" t="s">
        <v>420</v>
      </c>
      <c r="O124" t="s">
        <v>37</v>
      </c>
      <c r="P124" t="s">
        <v>37</v>
      </c>
    </row>
    <row r="125" spans="1:16" x14ac:dyDescent="0.25">
      <c r="A125" t="s">
        <v>266</v>
      </c>
      <c r="B125" t="s">
        <v>31</v>
      </c>
      <c r="C125" t="str">
        <f t="shared" si="1"/>
        <v>VZB23_S1</v>
      </c>
      <c r="D125" t="s">
        <v>421</v>
      </c>
      <c r="E125">
        <v>1</v>
      </c>
      <c r="F125" t="s">
        <v>422</v>
      </c>
      <c r="G125" t="s">
        <v>54</v>
      </c>
      <c r="H125" t="s">
        <v>138</v>
      </c>
      <c r="I125" t="s">
        <v>36</v>
      </c>
      <c r="J125">
        <v>6</v>
      </c>
      <c r="K125">
        <v>0</v>
      </c>
      <c r="L125" t="s">
        <v>5</v>
      </c>
      <c r="M125" t="s">
        <v>131</v>
      </c>
      <c r="N125" t="s">
        <v>127</v>
      </c>
      <c r="O125" t="s">
        <v>423</v>
      </c>
      <c r="P125" t="s">
        <v>37</v>
      </c>
    </row>
    <row r="126" spans="1:16" x14ac:dyDescent="0.25">
      <c r="A126" t="s">
        <v>266</v>
      </c>
      <c r="B126" t="s">
        <v>31</v>
      </c>
      <c r="C126" t="str">
        <f t="shared" si="1"/>
        <v>VZB23_S2</v>
      </c>
      <c r="D126" t="s">
        <v>421</v>
      </c>
      <c r="E126">
        <v>2</v>
      </c>
      <c r="F126" t="s">
        <v>422</v>
      </c>
      <c r="G126" t="s">
        <v>424</v>
      </c>
      <c r="H126" t="s">
        <v>138</v>
      </c>
      <c r="I126" t="s">
        <v>36</v>
      </c>
      <c r="J126">
        <v>6</v>
      </c>
      <c r="K126">
        <v>50</v>
      </c>
      <c r="L126" t="s">
        <v>5</v>
      </c>
      <c r="M126" t="s">
        <v>131</v>
      </c>
      <c r="N126" t="s">
        <v>380</v>
      </c>
      <c r="O126" t="s">
        <v>423</v>
      </c>
      <c r="P126" t="s">
        <v>37</v>
      </c>
    </row>
    <row r="127" spans="1:16" x14ac:dyDescent="0.25">
      <c r="A127" t="s">
        <v>266</v>
      </c>
      <c r="B127" t="s">
        <v>31</v>
      </c>
      <c r="C127" t="str">
        <f t="shared" si="1"/>
        <v>VZB23_S3</v>
      </c>
      <c r="D127" t="s">
        <v>421</v>
      </c>
      <c r="E127">
        <v>3</v>
      </c>
      <c r="F127" t="s">
        <v>422</v>
      </c>
      <c r="G127" t="s">
        <v>425</v>
      </c>
      <c r="H127" t="s">
        <v>138</v>
      </c>
      <c r="I127" t="s">
        <v>36</v>
      </c>
      <c r="J127">
        <v>6</v>
      </c>
      <c r="K127">
        <v>130</v>
      </c>
      <c r="L127" t="s">
        <v>5</v>
      </c>
      <c r="M127" t="s">
        <v>131</v>
      </c>
      <c r="N127" t="s">
        <v>426</v>
      </c>
      <c r="O127" t="s">
        <v>37</v>
      </c>
      <c r="P127" t="s">
        <v>37</v>
      </c>
    </row>
    <row r="128" spans="1:16" x14ac:dyDescent="0.25">
      <c r="A128" t="s">
        <v>266</v>
      </c>
      <c r="B128" t="s">
        <v>31</v>
      </c>
      <c r="C128" t="str">
        <f t="shared" si="1"/>
        <v>VZB23_S4</v>
      </c>
      <c r="D128" t="s">
        <v>421</v>
      </c>
      <c r="E128">
        <v>4</v>
      </c>
      <c r="F128" t="s">
        <v>422</v>
      </c>
      <c r="G128" t="s">
        <v>49</v>
      </c>
      <c r="H128" t="s">
        <v>138</v>
      </c>
      <c r="I128" t="s">
        <v>36</v>
      </c>
      <c r="J128">
        <v>6</v>
      </c>
      <c r="K128">
        <v>25</v>
      </c>
      <c r="L128" t="s">
        <v>5</v>
      </c>
      <c r="M128" t="s">
        <v>131</v>
      </c>
      <c r="N128" t="s">
        <v>427</v>
      </c>
      <c r="O128" t="s">
        <v>37</v>
      </c>
      <c r="P128" t="s">
        <v>37</v>
      </c>
    </row>
    <row r="129" spans="1:16" x14ac:dyDescent="0.25">
      <c r="A129" t="s">
        <v>266</v>
      </c>
      <c r="B129" t="s">
        <v>31</v>
      </c>
      <c r="C129" t="str">
        <f t="shared" si="1"/>
        <v>VZB24_S1</v>
      </c>
      <c r="D129" t="s">
        <v>428</v>
      </c>
      <c r="E129">
        <v>1</v>
      </c>
      <c r="F129" t="s">
        <v>429</v>
      </c>
      <c r="G129" t="s">
        <v>54</v>
      </c>
      <c r="H129" t="s">
        <v>138</v>
      </c>
      <c r="I129" t="s">
        <v>36</v>
      </c>
      <c r="J129">
        <v>6</v>
      </c>
      <c r="K129">
        <v>0</v>
      </c>
      <c r="L129" t="s">
        <v>5</v>
      </c>
      <c r="M129" t="s">
        <v>37</v>
      </c>
      <c r="N129" t="s">
        <v>227</v>
      </c>
      <c r="O129" t="s">
        <v>430</v>
      </c>
      <c r="P129" t="s">
        <v>37</v>
      </c>
    </row>
    <row r="130" spans="1:16" x14ac:dyDescent="0.25">
      <c r="A130" t="s">
        <v>266</v>
      </c>
      <c r="B130" t="s">
        <v>31</v>
      </c>
      <c r="C130" t="str">
        <f t="shared" ref="C130:C193" si="2">_xlfn.CONCAT(D130,"_S",E130)</f>
        <v>VZB24_S2</v>
      </c>
      <c r="D130" t="s">
        <v>428</v>
      </c>
      <c r="E130">
        <v>2</v>
      </c>
      <c r="F130" t="s">
        <v>429</v>
      </c>
      <c r="G130" t="s">
        <v>49</v>
      </c>
      <c r="H130" t="s">
        <v>138</v>
      </c>
      <c r="I130" t="s">
        <v>36</v>
      </c>
      <c r="J130">
        <v>6</v>
      </c>
      <c r="K130">
        <v>0</v>
      </c>
      <c r="L130" t="s">
        <v>5</v>
      </c>
      <c r="M130" t="s">
        <v>37</v>
      </c>
      <c r="N130" t="s">
        <v>431</v>
      </c>
      <c r="O130" t="s">
        <v>430</v>
      </c>
      <c r="P130" t="s">
        <v>37</v>
      </c>
    </row>
    <row r="131" spans="1:16" x14ac:dyDescent="0.25">
      <c r="A131" t="s">
        <v>266</v>
      </c>
      <c r="B131" t="s">
        <v>31</v>
      </c>
      <c r="C131" t="str">
        <f t="shared" si="2"/>
        <v>VZB25_S1</v>
      </c>
      <c r="D131" t="s">
        <v>432</v>
      </c>
      <c r="E131">
        <v>1</v>
      </c>
      <c r="F131" t="s">
        <v>433</v>
      </c>
      <c r="G131" t="s">
        <v>49</v>
      </c>
      <c r="H131" t="s">
        <v>138</v>
      </c>
      <c r="I131" t="s">
        <v>36</v>
      </c>
      <c r="J131">
        <v>6</v>
      </c>
      <c r="K131">
        <v>0</v>
      </c>
      <c r="L131" t="s">
        <v>5</v>
      </c>
      <c r="M131" t="s">
        <v>37</v>
      </c>
      <c r="N131" t="s">
        <v>127</v>
      </c>
      <c r="O131" t="s">
        <v>434</v>
      </c>
      <c r="P131" t="s">
        <v>37</v>
      </c>
    </row>
    <row r="132" spans="1:16" x14ac:dyDescent="0.25">
      <c r="A132" t="s">
        <v>266</v>
      </c>
      <c r="B132" t="s">
        <v>31</v>
      </c>
      <c r="C132" t="str">
        <f t="shared" si="2"/>
        <v>VZB25_S2</v>
      </c>
      <c r="D132" t="s">
        <v>432</v>
      </c>
      <c r="E132">
        <v>2</v>
      </c>
      <c r="F132" t="s">
        <v>433</v>
      </c>
      <c r="G132" t="s">
        <v>49</v>
      </c>
      <c r="H132" t="s">
        <v>138</v>
      </c>
      <c r="I132" t="s">
        <v>36</v>
      </c>
      <c r="J132">
        <v>6</v>
      </c>
      <c r="K132">
        <v>50</v>
      </c>
      <c r="L132" t="s">
        <v>5</v>
      </c>
      <c r="M132" t="s">
        <v>37</v>
      </c>
      <c r="N132" t="s">
        <v>435</v>
      </c>
      <c r="O132" t="s">
        <v>434</v>
      </c>
      <c r="P132" t="s">
        <v>37</v>
      </c>
    </row>
    <row r="133" spans="1:16" x14ac:dyDescent="0.25">
      <c r="A133" t="s">
        <v>266</v>
      </c>
      <c r="B133" t="s">
        <v>31</v>
      </c>
      <c r="C133" t="str">
        <f t="shared" si="2"/>
        <v>VZB26_S1</v>
      </c>
      <c r="D133" t="s">
        <v>436</v>
      </c>
      <c r="E133">
        <v>1</v>
      </c>
      <c r="F133" t="s">
        <v>437</v>
      </c>
      <c r="G133" t="s">
        <v>54</v>
      </c>
      <c r="H133" t="s">
        <v>138</v>
      </c>
      <c r="I133" t="s">
        <v>36</v>
      </c>
      <c r="J133">
        <v>7</v>
      </c>
      <c r="K133">
        <v>0</v>
      </c>
      <c r="L133" t="s">
        <v>5</v>
      </c>
      <c r="M133" t="s">
        <v>37</v>
      </c>
      <c r="N133" t="s">
        <v>416</v>
      </c>
      <c r="O133" t="s">
        <v>438</v>
      </c>
      <c r="P133" t="s">
        <v>37</v>
      </c>
    </row>
    <row r="134" spans="1:16" x14ac:dyDescent="0.25">
      <c r="A134" t="s">
        <v>266</v>
      </c>
      <c r="B134" t="s">
        <v>31</v>
      </c>
      <c r="C134" t="str">
        <f t="shared" si="2"/>
        <v>VZB26_S2</v>
      </c>
      <c r="D134" t="s">
        <v>436</v>
      </c>
      <c r="E134">
        <v>2</v>
      </c>
      <c r="F134" t="s">
        <v>437</v>
      </c>
      <c r="G134" t="s">
        <v>439</v>
      </c>
      <c r="H134" t="s">
        <v>138</v>
      </c>
      <c r="I134" t="s">
        <v>36</v>
      </c>
      <c r="J134">
        <v>7</v>
      </c>
      <c r="K134">
        <v>200</v>
      </c>
      <c r="L134" t="s">
        <v>5</v>
      </c>
      <c r="M134" t="s">
        <v>37</v>
      </c>
      <c r="N134" t="s">
        <v>440</v>
      </c>
      <c r="O134" t="s">
        <v>438</v>
      </c>
      <c r="P134" t="s">
        <v>37</v>
      </c>
    </row>
    <row r="135" spans="1:16" x14ac:dyDescent="0.25">
      <c r="A135" t="s">
        <v>266</v>
      </c>
      <c r="B135" t="s">
        <v>31</v>
      </c>
      <c r="C135" t="str">
        <f t="shared" si="2"/>
        <v>VZB26_S3</v>
      </c>
      <c r="D135" t="s">
        <v>436</v>
      </c>
      <c r="E135">
        <v>3</v>
      </c>
      <c r="F135" t="s">
        <v>437</v>
      </c>
      <c r="G135" t="s">
        <v>49</v>
      </c>
      <c r="H135" t="s">
        <v>138</v>
      </c>
      <c r="I135" t="s">
        <v>36</v>
      </c>
      <c r="J135">
        <v>7</v>
      </c>
      <c r="K135">
        <v>50</v>
      </c>
      <c r="L135" t="s">
        <v>5</v>
      </c>
      <c r="M135" t="s">
        <v>37</v>
      </c>
      <c r="N135" t="s">
        <v>441</v>
      </c>
      <c r="O135" t="s">
        <v>37</v>
      </c>
      <c r="P135" t="s">
        <v>37</v>
      </c>
    </row>
    <row r="136" spans="1:16" x14ac:dyDescent="0.25">
      <c r="A136" t="s">
        <v>266</v>
      </c>
      <c r="B136" t="s">
        <v>31</v>
      </c>
      <c r="C136" t="str">
        <f t="shared" si="2"/>
        <v>VZB27_S1</v>
      </c>
      <c r="D136" t="s">
        <v>442</v>
      </c>
      <c r="E136">
        <v>1</v>
      </c>
      <c r="F136" t="s">
        <v>443</v>
      </c>
      <c r="G136" t="s">
        <v>54</v>
      </c>
      <c r="H136" t="s">
        <v>138</v>
      </c>
      <c r="I136" t="s">
        <v>36</v>
      </c>
      <c r="J136">
        <v>7</v>
      </c>
      <c r="K136">
        <v>0</v>
      </c>
      <c r="L136" t="s">
        <v>5</v>
      </c>
      <c r="M136" t="s">
        <v>37</v>
      </c>
      <c r="N136" t="s">
        <v>127</v>
      </c>
      <c r="O136" t="s">
        <v>444</v>
      </c>
      <c r="P136" t="s">
        <v>37</v>
      </c>
    </row>
    <row r="137" spans="1:16" x14ac:dyDescent="0.25">
      <c r="A137" t="s">
        <v>266</v>
      </c>
      <c r="B137" t="s">
        <v>31</v>
      </c>
      <c r="C137" t="str">
        <f t="shared" si="2"/>
        <v>VZB27_S2a</v>
      </c>
      <c r="D137" t="s">
        <v>442</v>
      </c>
      <c r="E137" t="s">
        <v>72</v>
      </c>
      <c r="F137" t="s">
        <v>443</v>
      </c>
      <c r="G137" t="s">
        <v>445</v>
      </c>
      <c r="H137" t="s">
        <v>138</v>
      </c>
      <c r="I137" t="s">
        <v>36</v>
      </c>
      <c r="J137">
        <v>7</v>
      </c>
      <c r="K137">
        <v>80</v>
      </c>
      <c r="L137" t="s">
        <v>5</v>
      </c>
      <c r="M137" t="s">
        <v>37</v>
      </c>
      <c r="N137" t="s">
        <v>446</v>
      </c>
      <c r="O137" t="s">
        <v>444</v>
      </c>
      <c r="P137" t="s">
        <v>447</v>
      </c>
    </row>
    <row r="138" spans="1:16" x14ac:dyDescent="0.25">
      <c r="A138" t="s">
        <v>266</v>
      </c>
      <c r="B138" t="s">
        <v>31</v>
      </c>
      <c r="C138" t="str">
        <f t="shared" si="2"/>
        <v>VZB27_S2ab</v>
      </c>
      <c r="D138" t="s">
        <v>442</v>
      </c>
      <c r="E138" t="s">
        <v>448</v>
      </c>
      <c r="F138" t="s">
        <v>443</v>
      </c>
      <c r="G138" t="s">
        <v>449</v>
      </c>
      <c r="H138" t="s">
        <v>138</v>
      </c>
      <c r="I138" t="s">
        <v>36</v>
      </c>
      <c r="J138">
        <v>7</v>
      </c>
      <c r="K138">
        <v>30</v>
      </c>
      <c r="L138" t="s">
        <v>5</v>
      </c>
      <c r="M138" t="s">
        <v>37</v>
      </c>
      <c r="N138" t="s">
        <v>450</v>
      </c>
      <c r="O138" t="s">
        <v>444</v>
      </c>
      <c r="P138" t="s">
        <v>451</v>
      </c>
    </row>
    <row r="139" spans="1:16" x14ac:dyDescent="0.25">
      <c r="A139" t="s">
        <v>266</v>
      </c>
      <c r="B139" t="s">
        <v>31</v>
      </c>
      <c r="C139" t="str">
        <f t="shared" si="2"/>
        <v>VZB27_S2ac</v>
      </c>
      <c r="D139" t="s">
        <v>442</v>
      </c>
      <c r="E139" t="s">
        <v>452</v>
      </c>
      <c r="F139" t="s">
        <v>443</v>
      </c>
      <c r="G139" t="s">
        <v>453</v>
      </c>
      <c r="H139" t="s">
        <v>138</v>
      </c>
      <c r="I139" t="s">
        <v>36</v>
      </c>
      <c r="J139">
        <v>7</v>
      </c>
      <c r="K139">
        <v>50</v>
      </c>
      <c r="L139" t="s">
        <v>5</v>
      </c>
      <c r="M139" t="s">
        <v>37</v>
      </c>
      <c r="N139" t="s">
        <v>450</v>
      </c>
      <c r="O139" t="s">
        <v>444</v>
      </c>
      <c r="P139" t="s">
        <v>454</v>
      </c>
    </row>
    <row r="140" spans="1:16" x14ac:dyDescent="0.25">
      <c r="A140" t="s">
        <v>266</v>
      </c>
      <c r="B140" t="s">
        <v>31</v>
      </c>
      <c r="C140" t="str">
        <f t="shared" si="2"/>
        <v>VZB27_S1b</v>
      </c>
      <c r="D140" t="s">
        <v>442</v>
      </c>
      <c r="E140" t="s">
        <v>455</v>
      </c>
      <c r="F140" t="s">
        <v>443</v>
      </c>
      <c r="G140" t="s">
        <v>456</v>
      </c>
      <c r="H140" t="s">
        <v>138</v>
      </c>
      <c r="I140" t="s">
        <v>36</v>
      </c>
      <c r="J140">
        <v>7</v>
      </c>
      <c r="K140">
        <v>50</v>
      </c>
      <c r="L140" t="s">
        <v>5</v>
      </c>
      <c r="M140" t="s">
        <v>37</v>
      </c>
      <c r="N140" t="s">
        <v>446</v>
      </c>
      <c r="O140" t="s">
        <v>444</v>
      </c>
      <c r="P140" t="s">
        <v>457</v>
      </c>
    </row>
    <row r="141" spans="1:16" x14ac:dyDescent="0.25">
      <c r="A141" t="s">
        <v>266</v>
      </c>
      <c r="B141" t="s">
        <v>31</v>
      </c>
      <c r="C141" t="str">
        <f t="shared" si="2"/>
        <v>VZB28_S1</v>
      </c>
      <c r="D141" t="s">
        <v>458</v>
      </c>
      <c r="E141">
        <v>1</v>
      </c>
      <c r="F141" t="s">
        <v>459</v>
      </c>
      <c r="G141" t="s">
        <v>54</v>
      </c>
      <c r="H141" t="s">
        <v>138</v>
      </c>
      <c r="I141" t="s">
        <v>36</v>
      </c>
      <c r="J141">
        <v>7</v>
      </c>
      <c r="K141">
        <v>0</v>
      </c>
      <c r="L141" t="s">
        <v>5</v>
      </c>
      <c r="M141" t="s">
        <v>37</v>
      </c>
      <c r="N141" t="s">
        <v>127</v>
      </c>
      <c r="O141" t="s">
        <v>460</v>
      </c>
      <c r="P141" t="s">
        <v>37</v>
      </c>
    </row>
    <row r="142" spans="1:16" x14ac:dyDescent="0.25">
      <c r="A142" t="s">
        <v>266</v>
      </c>
      <c r="B142" t="s">
        <v>31</v>
      </c>
      <c r="C142" t="str">
        <f t="shared" si="2"/>
        <v>VZB28_S2</v>
      </c>
      <c r="D142" t="s">
        <v>458</v>
      </c>
      <c r="E142">
        <v>2</v>
      </c>
      <c r="F142" t="s">
        <v>459</v>
      </c>
      <c r="G142" t="s">
        <v>461</v>
      </c>
      <c r="H142" t="s">
        <v>138</v>
      </c>
      <c r="I142" t="s">
        <v>36</v>
      </c>
      <c r="J142">
        <v>7</v>
      </c>
      <c r="K142">
        <v>25</v>
      </c>
      <c r="L142" t="s">
        <v>5</v>
      </c>
      <c r="M142" t="s">
        <v>37</v>
      </c>
      <c r="N142" t="s">
        <v>462</v>
      </c>
      <c r="O142" t="s">
        <v>460</v>
      </c>
      <c r="P142" t="s">
        <v>37</v>
      </c>
    </row>
    <row r="143" spans="1:16" x14ac:dyDescent="0.25">
      <c r="A143" t="s">
        <v>266</v>
      </c>
      <c r="B143" t="s">
        <v>31</v>
      </c>
      <c r="C143" t="str">
        <f t="shared" si="2"/>
        <v>VZB28_S3</v>
      </c>
      <c r="D143" t="s">
        <v>458</v>
      </c>
      <c r="E143">
        <v>3</v>
      </c>
      <c r="F143" t="s">
        <v>459</v>
      </c>
      <c r="G143" t="s">
        <v>463</v>
      </c>
      <c r="H143" t="s">
        <v>138</v>
      </c>
      <c r="I143" t="s">
        <v>36</v>
      </c>
      <c r="J143">
        <v>7</v>
      </c>
      <c r="K143">
        <v>50</v>
      </c>
      <c r="L143" t="s">
        <v>5</v>
      </c>
      <c r="M143" t="s">
        <v>37</v>
      </c>
      <c r="N143" t="s">
        <v>464</v>
      </c>
      <c r="O143" t="s">
        <v>460</v>
      </c>
      <c r="P143" t="s">
        <v>37</v>
      </c>
    </row>
    <row r="144" spans="1:16" x14ac:dyDescent="0.25">
      <c r="A144" t="s">
        <v>266</v>
      </c>
      <c r="B144" t="s">
        <v>31</v>
      </c>
      <c r="C144" t="str">
        <f t="shared" si="2"/>
        <v>VZB28_S4a</v>
      </c>
      <c r="D144" t="s">
        <v>458</v>
      </c>
      <c r="E144" t="s">
        <v>158</v>
      </c>
      <c r="F144" t="s">
        <v>459</v>
      </c>
      <c r="G144" t="s">
        <v>465</v>
      </c>
      <c r="H144" t="s">
        <v>138</v>
      </c>
      <c r="I144" t="s">
        <v>36</v>
      </c>
      <c r="J144">
        <v>7</v>
      </c>
      <c r="K144">
        <v>50</v>
      </c>
      <c r="L144" t="s">
        <v>5</v>
      </c>
      <c r="M144" t="s">
        <v>37</v>
      </c>
      <c r="N144" t="s">
        <v>466</v>
      </c>
      <c r="O144" t="s">
        <v>460</v>
      </c>
      <c r="P144" t="s">
        <v>467</v>
      </c>
    </row>
    <row r="145" spans="1:16" x14ac:dyDescent="0.25">
      <c r="A145" t="s">
        <v>266</v>
      </c>
      <c r="B145" t="s">
        <v>31</v>
      </c>
      <c r="C145" t="str">
        <f t="shared" si="2"/>
        <v>VZB28_S4b</v>
      </c>
      <c r="D145" t="s">
        <v>458</v>
      </c>
      <c r="E145" t="s">
        <v>163</v>
      </c>
      <c r="F145" t="s">
        <v>459</v>
      </c>
      <c r="G145" t="s">
        <v>468</v>
      </c>
      <c r="H145" t="s">
        <v>138</v>
      </c>
      <c r="I145" t="s">
        <v>36</v>
      </c>
      <c r="J145">
        <v>7</v>
      </c>
      <c r="K145">
        <v>0</v>
      </c>
      <c r="L145" t="s">
        <v>5</v>
      </c>
      <c r="M145" t="s">
        <v>37</v>
      </c>
      <c r="N145" t="s">
        <v>466</v>
      </c>
      <c r="O145" t="s">
        <v>460</v>
      </c>
      <c r="P145" t="s">
        <v>469</v>
      </c>
    </row>
    <row r="146" spans="1:16" x14ac:dyDescent="0.25">
      <c r="A146" t="s">
        <v>266</v>
      </c>
      <c r="B146" t="s">
        <v>31</v>
      </c>
      <c r="C146" t="str">
        <f t="shared" si="2"/>
        <v>VZB29_S1</v>
      </c>
      <c r="D146" t="s">
        <v>470</v>
      </c>
      <c r="E146">
        <v>1</v>
      </c>
      <c r="F146" t="s">
        <v>471</v>
      </c>
      <c r="G146" t="s">
        <v>54</v>
      </c>
      <c r="H146" t="s">
        <v>138</v>
      </c>
      <c r="I146" t="s">
        <v>36</v>
      </c>
      <c r="J146">
        <v>7</v>
      </c>
      <c r="K146">
        <v>0</v>
      </c>
      <c r="L146" t="s">
        <v>5</v>
      </c>
      <c r="M146" t="s">
        <v>37</v>
      </c>
      <c r="N146" t="s">
        <v>127</v>
      </c>
      <c r="O146" t="s">
        <v>472</v>
      </c>
      <c r="P146" t="s">
        <v>37</v>
      </c>
    </row>
    <row r="147" spans="1:16" x14ac:dyDescent="0.25">
      <c r="A147" t="s">
        <v>266</v>
      </c>
      <c r="B147" t="s">
        <v>31</v>
      </c>
      <c r="C147" t="str">
        <f t="shared" si="2"/>
        <v>VZB29_S2</v>
      </c>
      <c r="D147" t="s">
        <v>470</v>
      </c>
      <c r="E147">
        <v>2</v>
      </c>
      <c r="F147" t="s">
        <v>471</v>
      </c>
      <c r="G147" t="s">
        <v>49</v>
      </c>
      <c r="H147" t="s">
        <v>138</v>
      </c>
      <c r="I147" t="s">
        <v>36</v>
      </c>
      <c r="J147">
        <v>7</v>
      </c>
      <c r="K147">
        <v>75</v>
      </c>
      <c r="L147" t="s">
        <v>5</v>
      </c>
      <c r="M147" t="s">
        <v>37</v>
      </c>
      <c r="N147" t="s">
        <v>473</v>
      </c>
      <c r="O147" t="s">
        <v>472</v>
      </c>
      <c r="P147" t="s">
        <v>37</v>
      </c>
    </row>
    <row r="148" spans="1:16" x14ac:dyDescent="0.25">
      <c r="A148" t="s">
        <v>266</v>
      </c>
      <c r="B148" t="s">
        <v>31</v>
      </c>
      <c r="C148" t="str">
        <f t="shared" si="2"/>
        <v>VZB30_S1</v>
      </c>
      <c r="D148" t="s">
        <v>474</v>
      </c>
      <c r="E148">
        <v>1</v>
      </c>
      <c r="F148" t="s">
        <v>475</v>
      </c>
      <c r="G148" t="s">
        <v>54</v>
      </c>
      <c r="H148" t="s">
        <v>138</v>
      </c>
      <c r="I148" t="s">
        <v>36</v>
      </c>
      <c r="J148">
        <v>7</v>
      </c>
      <c r="K148">
        <v>0</v>
      </c>
      <c r="L148" t="s">
        <v>5</v>
      </c>
      <c r="M148" t="s">
        <v>37</v>
      </c>
      <c r="N148" t="s">
        <v>127</v>
      </c>
      <c r="O148" t="s">
        <v>476</v>
      </c>
      <c r="P148" t="s">
        <v>37</v>
      </c>
    </row>
    <row r="149" spans="1:16" x14ac:dyDescent="0.25">
      <c r="A149" t="s">
        <v>266</v>
      </c>
      <c r="B149" t="s">
        <v>31</v>
      </c>
      <c r="C149" t="str">
        <f t="shared" si="2"/>
        <v>VZB30_S2</v>
      </c>
      <c r="D149" t="s">
        <v>474</v>
      </c>
      <c r="E149">
        <v>2</v>
      </c>
      <c r="F149" t="s">
        <v>475</v>
      </c>
      <c r="G149" t="s">
        <v>49</v>
      </c>
      <c r="H149" t="s">
        <v>138</v>
      </c>
      <c r="I149" t="s">
        <v>36</v>
      </c>
      <c r="J149">
        <v>7</v>
      </c>
      <c r="K149">
        <v>25</v>
      </c>
      <c r="L149" t="s">
        <v>5</v>
      </c>
      <c r="M149" t="s">
        <v>37</v>
      </c>
      <c r="N149" t="s">
        <v>477</v>
      </c>
      <c r="O149" t="s">
        <v>476</v>
      </c>
      <c r="P149" t="s">
        <v>37</v>
      </c>
    </row>
    <row r="150" spans="1:16" x14ac:dyDescent="0.25">
      <c r="A150" t="s">
        <v>266</v>
      </c>
      <c r="B150" t="s">
        <v>31</v>
      </c>
      <c r="C150" t="str">
        <f t="shared" si="2"/>
        <v>VZB31_S1</v>
      </c>
      <c r="D150" t="s">
        <v>478</v>
      </c>
      <c r="E150">
        <v>1</v>
      </c>
      <c r="F150" t="s">
        <v>479</v>
      </c>
      <c r="G150" t="s">
        <v>54</v>
      </c>
      <c r="H150" t="s">
        <v>138</v>
      </c>
      <c r="I150" t="s">
        <v>36</v>
      </c>
      <c r="J150">
        <v>8</v>
      </c>
      <c r="K150">
        <v>0</v>
      </c>
      <c r="L150" t="s">
        <v>5</v>
      </c>
      <c r="M150" t="s">
        <v>131</v>
      </c>
      <c r="N150" t="s">
        <v>480</v>
      </c>
      <c r="O150" t="s">
        <v>481</v>
      </c>
      <c r="P150" t="s">
        <v>37</v>
      </c>
    </row>
    <row r="151" spans="1:16" x14ac:dyDescent="0.25">
      <c r="A151" t="s">
        <v>266</v>
      </c>
      <c r="B151" t="s">
        <v>31</v>
      </c>
      <c r="C151" t="str">
        <f t="shared" si="2"/>
        <v>VZB31_S2</v>
      </c>
      <c r="D151" t="s">
        <v>478</v>
      </c>
      <c r="E151">
        <v>2</v>
      </c>
      <c r="F151" t="s">
        <v>479</v>
      </c>
      <c r="G151" t="s">
        <v>482</v>
      </c>
      <c r="H151" t="s">
        <v>138</v>
      </c>
      <c r="I151" t="s">
        <v>36</v>
      </c>
      <c r="J151">
        <v>8</v>
      </c>
      <c r="K151">
        <v>50</v>
      </c>
      <c r="L151" t="s">
        <v>5</v>
      </c>
      <c r="M151" t="s">
        <v>131</v>
      </c>
      <c r="N151" t="s">
        <v>483</v>
      </c>
      <c r="O151" t="s">
        <v>481</v>
      </c>
      <c r="P151" t="s">
        <v>37</v>
      </c>
    </row>
    <row r="152" spans="1:16" x14ac:dyDescent="0.25">
      <c r="A152" t="s">
        <v>266</v>
      </c>
      <c r="B152" t="s">
        <v>31</v>
      </c>
      <c r="C152" t="str">
        <f t="shared" si="2"/>
        <v>VZB31_S3a</v>
      </c>
      <c r="D152" t="s">
        <v>478</v>
      </c>
      <c r="E152" t="s">
        <v>40</v>
      </c>
      <c r="F152" t="s">
        <v>479</v>
      </c>
      <c r="G152" t="s">
        <v>484</v>
      </c>
      <c r="H152" t="s">
        <v>138</v>
      </c>
      <c r="I152" t="s">
        <v>36</v>
      </c>
      <c r="J152">
        <v>8</v>
      </c>
      <c r="K152">
        <v>100</v>
      </c>
      <c r="L152" t="s">
        <v>5</v>
      </c>
      <c r="M152" t="s">
        <v>37</v>
      </c>
      <c r="N152" t="s">
        <v>485</v>
      </c>
      <c r="O152" t="s">
        <v>37</v>
      </c>
      <c r="P152" t="s">
        <v>486</v>
      </c>
    </row>
    <row r="153" spans="1:16" x14ac:dyDescent="0.25">
      <c r="A153" t="s">
        <v>266</v>
      </c>
      <c r="B153" t="s">
        <v>31</v>
      </c>
      <c r="C153" t="str">
        <f t="shared" si="2"/>
        <v>VZB31_S3b</v>
      </c>
      <c r="D153" t="s">
        <v>478</v>
      </c>
      <c r="E153" t="s">
        <v>44</v>
      </c>
      <c r="F153" t="s">
        <v>479</v>
      </c>
      <c r="G153" t="s">
        <v>487</v>
      </c>
      <c r="H153" t="s">
        <v>138</v>
      </c>
      <c r="I153" t="s">
        <v>36</v>
      </c>
      <c r="J153">
        <v>8</v>
      </c>
      <c r="K153">
        <v>100</v>
      </c>
      <c r="L153" t="s">
        <v>5</v>
      </c>
      <c r="M153" t="s">
        <v>37</v>
      </c>
      <c r="N153" t="s">
        <v>485</v>
      </c>
      <c r="O153" t="s">
        <v>37</v>
      </c>
      <c r="P153" t="s">
        <v>488</v>
      </c>
    </row>
    <row r="154" spans="1:16" x14ac:dyDescent="0.25">
      <c r="A154" t="s">
        <v>266</v>
      </c>
      <c r="B154" t="s">
        <v>31</v>
      </c>
      <c r="C154" t="str">
        <f t="shared" si="2"/>
        <v>VZB31_S3c</v>
      </c>
      <c r="D154" t="s">
        <v>478</v>
      </c>
      <c r="E154" t="s">
        <v>80</v>
      </c>
      <c r="F154" t="s">
        <v>479</v>
      </c>
      <c r="G154" t="s">
        <v>489</v>
      </c>
      <c r="H154" t="s">
        <v>138</v>
      </c>
      <c r="I154" t="s">
        <v>36</v>
      </c>
      <c r="J154">
        <v>8</v>
      </c>
      <c r="K154">
        <v>200</v>
      </c>
      <c r="L154" t="s">
        <v>5</v>
      </c>
      <c r="M154" t="s">
        <v>37</v>
      </c>
      <c r="N154" t="s">
        <v>485</v>
      </c>
      <c r="O154" t="s">
        <v>37</v>
      </c>
      <c r="P154" t="s">
        <v>490</v>
      </c>
    </row>
    <row r="155" spans="1:16" x14ac:dyDescent="0.25">
      <c r="A155" t="s">
        <v>266</v>
      </c>
      <c r="B155" t="s">
        <v>31</v>
      </c>
      <c r="C155" t="str">
        <f t="shared" si="2"/>
        <v>VZB32_S1</v>
      </c>
      <c r="D155" t="s">
        <v>491</v>
      </c>
      <c r="E155">
        <v>1</v>
      </c>
      <c r="F155" t="s">
        <v>492</v>
      </c>
      <c r="G155" t="s">
        <v>54</v>
      </c>
      <c r="H155" t="s">
        <v>138</v>
      </c>
      <c r="I155" t="s">
        <v>36</v>
      </c>
      <c r="J155">
        <v>9</v>
      </c>
      <c r="K155">
        <v>0</v>
      </c>
      <c r="L155" t="s">
        <v>5</v>
      </c>
      <c r="M155" t="s">
        <v>37</v>
      </c>
      <c r="N155" t="s">
        <v>127</v>
      </c>
      <c r="O155" t="s">
        <v>493</v>
      </c>
      <c r="P155" t="s">
        <v>37</v>
      </c>
    </row>
    <row r="156" spans="1:16" x14ac:dyDescent="0.25">
      <c r="A156" t="s">
        <v>266</v>
      </c>
      <c r="B156" t="s">
        <v>31</v>
      </c>
      <c r="C156" t="str">
        <f t="shared" si="2"/>
        <v>VZB32_S2</v>
      </c>
      <c r="D156" t="s">
        <v>491</v>
      </c>
      <c r="E156">
        <v>2</v>
      </c>
      <c r="F156" t="s">
        <v>492</v>
      </c>
      <c r="G156" t="s">
        <v>49</v>
      </c>
      <c r="H156" t="s">
        <v>138</v>
      </c>
      <c r="I156" t="s">
        <v>36</v>
      </c>
      <c r="J156">
        <v>9</v>
      </c>
      <c r="K156">
        <v>50</v>
      </c>
      <c r="L156" t="s">
        <v>5</v>
      </c>
      <c r="M156" t="s">
        <v>37</v>
      </c>
      <c r="N156" t="s">
        <v>494</v>
      </c>
      <c r="O156" t="s">
        <v>493</v>
      </c>
      <c r="P156" t="s">
        <v>37</v>
      </c>
    </row>
    <row r="157" spans="1:16" x14ac:dyDescent="0.25">
      <c r="A157" t="s">
        <v>266</v>
      </c>
      <c r="B157" t="s">
        <v>31</v>
      </c>
      <c r="C157" t="str">
        <f t="shared" si="2"/>
        <v>VZB33_S1</v>
      </c>
      <c r="D157" t="s">
        <v>495</v>
      </c>
      <c r="E157">
        <v>1</v>
      </c>
      <c r="F157" t="s">
        <v>496</v>
      </c>
      <c r="G157" t="s">
        <v>54</v>
      </c>
      <c r="H157" t="s">
        <v>138</v>
      </c>
      <c r="I157" t="s">
        <v>36</v>
      </c>
      <c r="J157">
        <v>9</v>
      </c>
      <c r="K157">
        <v>0</v>
      </c>
      <c r="L157" t="s">
        <v>5</v>
      </c>
      <c r="M157" t="s">
        <v>37</v>
      </c>
      <c r="N157" t="s">
        <v>127</v>
      </c>
      <c r="O157" t="s">
        <v>497</v>
      </c>
      <c r="P157" t="s">
        <v>37</v>
      </c>
    </row>
    <row r="158" spans="1:16" x14ac:dyDescent="0.25">
      <c r="A158" t="s">
        <v>266</v>
      </c>
      <c r="B158" t="s">
        <v>31</v>
      </c>
      <c r="C158" t="str">
        <f t="shared" si="2"/>
        <v>VZB33_S2</v>
      </c>
      <c r="D158" t="s">
        <v>495</v>
      </c>
      <c r="E158">
        <v>2</v>
      </c>
      <c r="F158" t="s">
        <v>496</v>
      </c>
      <c r="G158" t="s">
        <v>498</v>
      </c>
      <c r="H158" t="s">
        <v>138</v>
      </c>
      <c r="I158" t="s">
        <v>36</v>
      </c>
      <c r="J158">
        <v>9</v>
      </c>
      <c r="K158">
        <v>10</v>
      </c>
      <c r="L158" t="s">
        <v>5</v>
      </c>
      <c r="M158" t="s">
        <v>37</v>
      </c>
      <c r="N158" t="s">
        <v>499</v>
      </c>
      <c r="O158" t="s">
        <v>497</v>
      </c>
      <c r="P158" t="s">
        <v>37</v>
      </c>
    </row>
    <row r="159" spans="1:16" x14ac:dyDescent="0.25">
      <c r="A159" t="s">
        <v>266</v>
      </c>
      <c r="B159" t="s">
        <v>31</v>
      </c>
      <c r="C159" t="str">
        <f t="shared" si="2"/>
        <v>VZB33_S3</v>
      </c>
      <c r="D159" t="s">
        <v>495</v>
      </c>
      <c r="E159">
        <v>3</v>
      </c>
      <c r="F159" t="s">
        <v>496</v>
      </c>
      <c r="G159" t="s">
        <v>500</v>
      </c>
      <c r="H159" t="s">
        <v>138</v>
      </c>
      <c r="I159" t="s">
        <v>36</v>
      </c>
      <c r="J159">
        <v>9</v>
      </c>
      <c r="K159">
        <v>25</v>
      </c>
      <c r="L159" t="s">
        <v>5</v>
      </c>
      <c r="M159" t="s">
        <v>37</v>
      </c>
      <c r="N159" t="s">
        <v>501</v>
      </c>
      <c r="O159" t="s">
        <v>37</v>
      </c>
      <c r="P159" t="s">
        <v>37</v>
      </c>
    </row>
    <row r="160" spans="1:16" x14ac:dyDescent="0.25">
      <c r="A160" t="s">
        <v>266</v>
      </c>
      <c r="B160" t="s">
        <v>31</v>
      </c>
      <c r="C160" t="str">
        <f t="shared" si="2"/>
        <v>VZB33_S4</v>
      </c>
      <c r="D160" t="s">
        <v>495</v>
      </c>
      <c r="E160">
        <v>4</v>
      </c>
      <c r="F160" t="s">
        <v>496</v>
      </c>
      <c r="G160" t="s">
        <v>233</v>
      </c>
      <c r="H160" t="s">
        <v>138</v>
      </c>
      <c r="I160" t="s">
        <v>36</v>
      </c>
      <c r="J160">
        <v>9</v>
      </c>
      <c r="K160">
        <v>25</v>
      </c>
      <c r="L160" t="s">
        <v>5</v>
      </c>
      <c r="M160" t="s">
        <v>37</v>
      </c>
      <c r="N160" t="s">
        <v>502</v>
      </c>
      <c r="O160" t="s">
        <v>37</v>
      </c>
      <c r="P160" t="s">
        <v>37</v>
      </c>
    </row>
    <row r="161" spans="1:16" x14ac:dyDescent="0.25">
      <c r="A161" t="s">
        <v>266</v>
      </c>
      <c r="B161" t="s">
        <v>31</v>
      </c>
      <c r="C161" t="str">
        <f t="shared" si="2"/>
        <v>VZB34_S1</v>
      </c>
      <c r="D161" t="s">
        <v>503</v>
      </c>
      <c r="E161">
        <v>1</v>
      </c>
      <c r="F161" t="s">
        <v>504</v>
      </c>
      <c r="G161" t="s">
        <v>54</v>
      </c>
      <c r="H161" t="s">
        <v>138</v>
      </c>
      <c r="I161" t="s">
        <v>36</v>
      </c>
      <c r="J161">
        <v>9</v>
      </c>
      <c r="K161">
        <v>0</v>
      </c>
      <c r="L161" t="s">
        <v>5</v>
      </c>
      <c r="M161" t="s">
        <v>131</v>
      </c>
      <c r="N161" t="s">
        <v>505</v>
      </c>
      <c r="O161" t="s">
        <v>506</v>
      </c>
      <c r="P161" t="s">
        <v>37</v>
      </c>
    </row>
    <row r="162" spans="1:16" x14ac:dyDescent="0.25">
      <c r="A162" t="s">
        <v>266</v>
      </c>
      <c r="B162" t="s">
        <v>31</v>
      </c>
      <c r="C162" t="str">
        <f t="shared" si="2"/>
        <v>VZB34_S2</v>
      </c>
      <c r="D162" t="s">
        <v>503</v>
      </c>
      <c r="E162">
        <v>2</v>
      </c>
      <c r="F162" t="s">
        <v>504</v>
      </c>
      <c r="G162" t="s">
        <v>507</v>
      </c>
      <c r="H162" t="s">
        <v>138</v>
      </c>
      <c r="I162" t="s">
        <v>36</v>
      </c>
      <c r="J162">
        <v>9</v>
      </c>
      <c r="K162">
        <v>200</v>
      </c>
      <c r="L162" t="s">
        <v>5</v>
      </c>
      <c r="M162" t="s">
        <v>131</v>
      </c>
      <c r="N162" t="s">
        <v>508</v>
      </c>
      <c r="O162" t="s">
        <v>506</v>
      </c>
      <c r="P162" t="s">
        <v>37</v>
      </c>
    </row>
    <row r="163" spans="1:16" x14ac:dyDescent="0.25">
      <c r="A163" t="s">
        <v>266</v>
      </c>
      <c r="B163" t="s">
        <v>31</v>
      </c>
      <c r="C163" t="str">
        <f t="shared" si="2"/>
        <v>VZB34_S3a</v>
      </c>
      <c r="D163" t="s">
        <v>503</v>
      </c>
      <c r="E163" t="s">
        <v>40</v>
      </c>
      <c r="F163" t="s">
        <v>504</v>
      </c>
      <c r="G163" t="s">
        <v>509</v>
      </c>
      <c r="H163" t="s">
        <v>138</v>
      </c>
      <c r="I163" t="s">
        <v>36</v>
      </c>
      <c r="J163">
        <v>9</v>
      </c>
      <c r="K163">
        <v>350</v>
      </c>
      <c r="L163" t="s">
        <v>5</v>
      </c>
      <c r="M163" t="s">
        <v>131</v>
      </c>
      <c r="N163" t="s">
        <v>510</v>
      </c>
      <c r="O163" t="s">
        <v>37</v>
      </c>
      <c r="P163" t="s">
        <v>511</v>
      </c>
    </row>
    <row r="164" spans="1:16" x14ac:dyDescent="0.25">
      <c r="A164" t="s">
        <v>266</v>
      </c>
      <c r="B164" t="s">
        <v>31</v>
      </c>
      <c r="C164" t="str">
        <f t="shared" si="2"/>
        <v>VZB34_S3b</v>
      </c>
      <c r="D164" t="s">
        <v>503</v>
      </c>
      <c r="E164" t="s">
        <v>44</v>
      </c>
      <c r="F164" t="s">
        <v>504</v>
      </c>
      <c r="G164" t="s">
        <v>233</v>
      </c>
      <c r="H164" t="s">
        <v>138</v>
      </c>
      <c r="I164" t="s">
        <v>36</v>
      </c>
      <c r="J164">
        <v>9</v>
      </c>
      <c r="K164">
        <v>300</v>
      </c>
      <c r="L164" t="s">
        <v>5</v>
      </c>
      <c r="M164" t="s">
        <v>131</v>
      </c>
      <c r="N164" t="s">
        <v>510</v>
      </c>
      <c r="O164" t="s">
        <v>37</v>
      </c>
      <c r="P164" t="s">
        <v>512</v>
      </c>
    </row>
    <row r="165" spans="1:16" x14ac:dyDescent="0.25">
      <c r="A165" t="s">
        <v>266</v>
      </c>
      <c r="B165" t="s">
        <v>31</v>
      </c>
      <c r="C165" t="str">
        <f t="shared" si="2"/>
        <v>VZB35_S1</v>
      </c>
      <c r="D165" t="s">
        <v>513</v>
      </c>
      <c r="E165">
        <v>1</v>
      </c>
      <c r="F165" t="s">
        <v>514</v>
      </c>
      <c r="G165" t="s">
        <v>54</v>
      </c>
      <c r="H165" t="s">
        <v>138</v>
      </c>
      <c r="I165" t="s">
        <v>36</v>
      </c>
      <c r="J165">
        <v>10</v>
      </c>
      <c r="K165">
        <v>0</v>
      </c>
      <c r="L165" t="s">
        <v>5</v>
      </c>
      <c r="M165" t="s">
        <v>37</v>
      </c>
      <c r="N165" t="s">
        <v>127</v>
      </c>
      <c r="O165" t="s">
        <v>515</v>
      </c>
      <c r="P165" t="s">
        <v>37</v>
      </c>
    </row>
    <row r="166" spans="1:16" x14ac:dyDescent="0.25">
      <c r="A166" t="s">
        <v>266</v>
      </c>
      <c r="B166" t="s">
        <v>31</v>
      </c>
      <c r="C166" t="str">
        <f t="shared" si="2"/>
        <v>VZB35_S2a</v>
      </c>
      <c r="D166" t="s">
        <v>513</v>
      </c>
      <c r="E166" t="s">
        <v>72</v>
      </c>
      <c r="F166" t="s">
        <v>514</v>
      </c>
      <c r="G166" t="s">
        <v>516</v>
      </c>
      <c r="H166" t="s">
        <v>138</v>
      </c>
      <c r="I166" t="s">
        <v>36</v>
      </c>
      <c r="J166">
        <v>10</v>
      </c>
      <c r="K166">
        <v>20</v>
      </c>
      <c r="L166" t="s">
        <v>5</v>
      </c>
      <c r="M166" t="s">
        <v>37</v>
      </c>
      <c r="N166" t="s">
        <v>517</v>
      </c>
      <c r="O166" t="s">
        <v>515</v>
      </c>
      <c r="P166" t="s">
        <v>518</v>
      </c>
    </row>
    <row r="167" spans="1:16" x14ac:dyDescent="0.25">
      <c r="A167" t="s">
        <v>266</v>
      </c>
      <c r="B167" t="s">
        <v>31</v>
      </c>
      <c r="C167" t="str">
        <f t="shared" si="2"/>
        <v>VZB35_S2b</v>
      </c>
      <c r="D167" t="s">
        <v>513</v>
      </c>
      <c r="E167" t="s">
        <v>75</v>
      </c>
      <c r="F167" t="s">
        <v>514</v>
      </c>
      <c r="G167" t="s">
        <v>519</v>
      </c>
      <c r="H167" t="s">
        <v>138</v>
      </c>
      <c r="I167" t="s">
        <v>36</v>
      </c>
      <c r="J167">
        <v>10</v>
      </c>
      <c r="K167">
        <v>60</v>
      </c>
      <c r="L167" t="s">
        <v>5</v>
      </c>
      <c r="M167" t="s">
        <v>37</v>
      </c>
      <c r="N167" t="s">
        <v>517</v>
      </c>
      <c r="O167" t="s">
        <v>515</v>
      </c>
      <c r="P167" t="s">
        <v>520</v>
      </c>
    </row>
    <row r="168" spans="1:16" x14ac:dyDescent="0.25">
      <c r="A168" t="s">
        <v>266</v>
      </c>
      <c r="B168" t="s">
        <v>31</v>
      </c>
      <c r="C168" t="str">
        <f t="shared" si="2"/>
        <v>VZB36_S1</v>
      </c>
      <c r="D168" t="s">
        <v>521</v>
      </c>
      <c r="E168">
        <v>1</v>
      </c>
      <c r="F168" t="s">
        <v>522</v>
      </c>
      <c r="G168" t="s">
        <v>54</v>
      </c>
      <c r="H168" t="s">
        <v>138</v>
      </c>
      <c r="I168" t="s">
        <v>36</v>
      </c>
      <c r="J168">
        <v>10</v>
      </c>
      <c r="K168">
        <v>0</v>
      </c>
      <c r="L168" t="s">
        <v>5</v>
      </c>
      <c r="M168" t="s">
        <v>37</v>
      </c>
      <c r="N168" t="s">
        <v>127</v>
      </c>
      <c r="O168" t="s">
        <v>523</v>
      </c>
      <c r="P168" t="s">
        <v>37</v>
      </c>
    </row>
    <row r="169" spans="1:16" x14ac:dyDescent="0.25">
      <c r="A169" t="s">
        <v>266</v>
      </c>
      <c r="B169" t="s">
        <v>31</v>
      </c>
      <c r="C169" t="str">
        <f t="shared" si="2"/>
        <v>VZB36_S2</v>
      </c>
      <c r="D169" t="s">
        <v>521</v>
      </c>
      <c r="E169">
        <v>2</v>
      </c>
      <c r="F169" t="s">
        <v>522</v>
      </c>
      <c r="G169" t="s">
        <v>524</v>
      </c>
      <c r="H169" t="s">
        <v>138</v>
      </c>
      <c r="I169" t="s">
        <v>36</v>
      </c>
      <c r="J169">
        <v>10</v>
      </c>
      <c r="K169">
        <v>10</v>
      </c>
      <c r="L169" t="s">
        <v>5</v>
      </c>
      <c r="M169" t="s">
        <v>37</v>
      </c>
      <c r="N169" t="s">
        <v>525</v>
      </c>
      <c r="O169" t="s">
        <v>523</v>
      </c>
      <c r="P169" t="s">
        <v>37</v>
      </c>
    </row>
    <row r="170" spans="1:16" x14ac:dyDescent="0.25">
      <c r="A170" t="s">
        <v>266</v>
      </c>
      <c r="B170" t="s">
        <v>31</v>
      </c>
      <c r="C170" t="str">
        <f t="shared" si="2"/>
        <v>VZB36_S3</v>
      </c>
      <c r="D170" t="s">
        <v>521</v>
      </c>
      <c r="E170">
        <v>3</v>
      </c>
      <c r="F170" t="s">
        <v>522</v>
      </c>
      <c r="G170" t="s">
        <v>526</v>
      </c>
      <c r="H170" t="s">
        <v>138</v>
      </c>
      <c r="I170" t="s">
        <v>36</v>
      </c>
      <c r="J170">
        <v>10</v>
      </c>
      <c r="K170">
        <v>25</v>
      </c>
      <c r="L170" t="s">
        <v>5</v>
      </c>
      <c r="M170" t="s">
        <v>37</v>
      </c>
      <c r="N170" t="s">
        <v>527</v>
      </c>
      <c r="O170" t="s">
        <v>37</v>
      </c>
      <c r="P170" t="s">
        <v>37</v>
      </c>
    </row>
    <row r="171" spans="1:16" x14ac:dyDescent="0.25">
      <c r="A171" t="s">
        <v>266</v>
      </c>
      <c r="B171" t="s">
        <v>31</v>
      </c>
      <c r="C171" t="str">
        <f t="shared" si="2"/>
        <v>VZB36_S4</v>
      </c>
      <c r="D171" t="s">
        <v>521</v>
      </c>
      <c r="E171">
        <v>4</v>
      </c>
      <c r="F171" t="s">
        <v>522</v>
      </c>
      <c r="G171" t="s">
        <v>528</v>
      </c>
      <c r="H171" t="s">
        <v>138</v>
      </c>
      <c r="I171" t="s">
        <v>36</v>
      </c>
      <c r="J171">
        <v>10</v>
      </c>
      <c r="K171">
        <v>50</v>
      </c>
      <c r="L171" t="s">
        <v>5</v>
      </c>
      <c r="M171" t="s">
        <v>37</v>
      </c>
      <c r="N171" t="s">
        <v>529</v>
      </c>
      <c r="O171" t="s">
        <v>37</v>
      </c>
      <c r="P171" t="s">
        <v>37</v>
      </c>
    </row>
    <row r="172" spans="1:16" x14ac:dyDescent="0.25">
      <c r="A172" t="s">
        <v>266</v>
      </c>
      <c r="B172" t="s">
        <v>31</v>
      </c>
      <c r="C172" t="str">
        <f t="shared" si="2"/>
        <v>VZB37_S1</v>
      </c>
      <c r="D172" t="s">
        <v>530</v>
      </c>
      <c r="E172">
        <v>1</v>
      </c>
      <c r="F172" t="s">
        <v>531</v>
      </c>
      <c r="G172" t="s">
        <v>54</v>
      </c>
      <c r="H172" t="s">
        <v>138</v>
      </c>
      <c r="I172" t="s">
        <v>36</v>
      </c>
      <c r="J172">
        <v>10</v>
      </c>
      <c r="K172">
        <v>0</v>
      </c>
      <c r="L172" t="s">
        <v>5</v>
      </c>
      <c r="M172" t="s">
        <v>37</v>
      </c>
      <c r="N172" t="s">
        <v>127</v>
      </c>
      <c r="O172" t="s">
        <v>532</v>
      </c>
      <c r="P172" t="s">
        <v>37</v>
      </c>
    </row>
    <row r="173" spans="1:16" x14ac:dyDescent="0.25">
      <c r="A173" t="s">
        <v>266</v>
      </c>
      <c r="B173" t="s">
        <v>31</v>
      </c>
      <c r="C173" t="str">
        <f t="shared" si="2"/>
        <v>VZB37_S2</v>
      </c>
      <c r="D173" t="s">
        <v>530</v>
      </c>
      <c r="E173">
        <v>2</v>
      </c>
      <c r="F173" t="s">
        <v>531</v>
      </c>
      <c r="G173" t="s">
        <v>49</v>
      </c>
      <c r="H173" t="s">
        <v>138</v>
      </c>
      <c r="I173" t="s">
        <v>36</v>
      </c>
      <c r="J173">
        <v>10</v>
      </c>
      <c r="K173">
        <v>25</v>
      </c>
      <c r="L173" t="s">
        <v>5</v>
      </c>
      <c r="M173" t="s">
        <v>37</v>
      </c>
      <c r="N173" t="s">
        <v>533</v>
      </c>
      <c r="O173" t="s">
        <v>532</v>
      </c>
      <c r="P173" t="s">
        <v>37</v>
      </c>
    </row>
    <row r="174" spans="1:16" x14ac:dyDescent="0.25">
      <c r="A174" t="s">
        <v>266</v>
      </c>
      <c r="B174" t="s">
        <v>31</v>
      </c>
      <c r="C174" t="str">
        <f t="shared" si="2"/>
        <v>VZB38_S1</v>
      </c>
      <c r="D174" t="s">
        <v>534</v>
      </c>
      <c r="E174">
        <v>1</v>
      </c>
      <c r="F174" t="s">
        <v>535</v>
      </c>
      <c r="G174" t="s">
        <v>54</v>
      </c>
      <c r="H174" t="s">
        <v>138</v>
      </c>
      <c r="I174" t="s">
        <v>36</v>
      </c>
      <c r="J174">
        <v>10</v>
      </c>
      <c r="K174">
        <v>0</v>
      </c>
      <c r="L174" t="s">
        <v>5</v>
      </c>
      <c r="M174" t="s">
        <v>37</v>
      </c>
      <c r="N174" t="s">
        <v>536</v>
      </c>
      <c r="O174" t="s">
        <v>537</v>
      </c>
      <c r="P174" t="s">
        <v>37</v>
      </c>
    </row>
    <row r="175" spans="1:16" x14ac:dyDescent="0.25">
      <c r="A175" t="s">
        <v>266</v>
      </c>
      <c r="B175" t="s">
        <v>31</v>
      </c>
      <c r="C175" t="str">
        <f t="shared" si="2"/>
        <v>VZB38_S2</v>
      </c>
      <c r="D175" t="s">
        <v>534</v>
      </c>
      <c r="E175">
        <v>2</v>
      </c>
      <c r="F175" t="s">
        <v>535</v>
      </c>
      <c r="G175" t="s">
        <v>538</v>
      </c>
      <c r="H175" t="s">
        <v>138</v>
      </c>
      <c r="I175" t="s">
        <v>36</v>
      </c>
      <c r="J175">
        <v>10</v>
      </c>
      <c r="K175">
        <v>10</v>
      </c>
      <c r="L175" t="s">
        <v>5</v>
      </c>
      <c r="M175" t="s">
        <v>37</v>
      </c>
      <c r="N175" t="s">
        <v>539</v>
      </c>
      <c r="O175" t="s">
        <v>537</v>
      </c>
      <c r="P175" t="s">
        <v>37</v>
      </c>
    </row>
    <row r="176" spans="1:16" x14ac:dyDescent="0.25">
      <c r="A176" t="s">
        <v>266</v>
      </c>
      <c r="B176" t="s">
        <v>31</v>
      </c>
      <c r="C176" t="str">
        <f t="shared" si="2"/>
        <v>VZB38_S3</v>
      </c>
      <c r="D176" t="s">
        <v>534</v>
      </c>
      <c r="E176">
        <v>3</v>
      </c>
      <c r="F176" t="s">
        <v>535</v>
      </c>
      <c r="G176" t="s">
        <v>49</v>
      </c>
      <c r="H176" t="s">
        <v>138</v>
      </c>
      <c r="I176" t="s">
        <v>36</v>
      </c>
      <c r="J176">
        <v>10</v>
      </c>
      <c r="K176">
        <v>75</v>
      </c>
      <c r="L176" t="s">
        <v>5</v>
      </c>
      <c r="M176" t="s">
        <v>37</v>
      </c>
      <c r="N176" t="s">
        <v>540</v>
      </c>
      <c r="O176" t="s">
        <v>37</v>
      </c>
      <c r="P176" t="s">
        <v>37</v>
      </c>
    </row>
    <row r="177" spans="1:16" x14ac:dyDescent="0.25">
      <c r="A177" t="s">
        <v>266</v>
      </c>
      <c r="B177" t="s">
        <v>31</v>
      </c>
      <c r="C177" t="str">
        <f t="shared" si="2"/>
        <v>VZB39_S1</v>
      </c>
      <c r="D177" t="s">
        <v>541</v>
      </c>
      <c r="E177">
        <v>1</v>
      </c>
      <c r="F177" t="s">
        <v>542</v>
      </c>
      <c r="G177" t="s">
        <v>543</v>
      </c>
      <c r="H177" t="s">
        <v>138</v>
      </c>
      <c r="I177" t="s">
        <v>36</v>
      </c>
      <c r="J177">
        <v>11</v>
      </c>
      <c r="K177">
        <v>25</v>
      </c>
      <c r="L177" t="s">
        <v>5</v>
      </c>
      <c r="M177" t="s">
        <v>37</v>
      </c>
      <c r="N177" t="s">
        <v>127</v>
      </c>
      <c r="O177" t="s">
        <v>37</v>
      </c>
      <c r="P177" t="s">
        <v>37</v>
      </c>
    </row>
    <row r="178" spans="1:16" x14ac:dyDescent="0.25">
      <c r="A178" t="s">
        <v>266</v>
      </c>
      <c r="B178" t="s">
        <v>31</v>
      </c>
      <c r="C178" t="str">
        <f t="shared" si="2"/>
        <v>VZB39_S2</v>
      </c>
      <c r="D178" t="s">
        <v>541</v>
      </c>
      <c r="E178">
        <v>2</v>
      </c>
      <c r="F178" t="s">
        <v>542</v>
      </c>
      <c r="G178" t="s">
        <v>544</v>
      </c>
      <c r="H178" t="s">
        <v>138</v>
      </c>
      <c r="I178" t="s">
        <v>36</v>
      </c>
      <c r="J178">
        <v>11</v>
      </c>
      <c r="K178">
        <v>25</v>
      </c>
      <c r="L178" t="s">
        <v>5</v>
      </c>
      <c r="M178" t="s">
        <v>37</v>
      </c>
      <c r="N178" t="s">
        <v>545</v>
      </c>
      <c r="O178" t="s">
        <v>37</v>
      </c>
      <c r="P178" t="s">
        <v>37</v>
      </c>
    </row>
    <row r="179" spans="1:16" x14ac:dyDescent="0.25">
      <c r="A179" t="s">
        <v>266</v>
      </c>
      <c r="B179" t="s">
        <v>31</v>
      </c>
      <c r="C179" t="str">
        <f t="shared" si="2"/>
        <v>VZB39_S3</v>
      </c>
      <c r="D179" t="s">
        <v>541</v>
      </c>
      <c r="E179">
        <v>3</v>
      </c>
      <c r="F179" t="s">
        <v>542</v>
      </c>
      <c r="G179" t="s">
        <v>546</v>
      </c>
      <c r="H179" t="s">
        <v>138</v>
      </c>
      <c r="I179" t="s">
        <v>36</v>
      </c>
      <c r="J179">
        <v>11</v>
      </c>
      <c r="K179">
        <v>25</v>
      </c>
      <c r="L179" t="s">
        <v>5</v>
      </c>
      <c r="M179" t="s">
        <v>37</v>
      </c>
      <c r="N179" t="s">
        <v>547</v>
      </c>
      <c r="O179" t="s">
        <v>37</v>
      </c>
      <c r="P179" t="s">
        <v>37</v>
      </c>
    </row>
    <row r="180" spans="1:16" x14ac:dyDescent="0.25">
      <c r="A180" t="s">
        <v>266</v>
      </c>
      <c r="B180" t="s">
        <v>31</v>
      </c>
      <c r="C180" t="str">
        <f t="shared" si="2"/>
        <v>VZB39_S4</v>
      </c>
      <c r="D180" t="s">
        <v>541</v>
      </c>
      <c r="E180">
        <v>4</v>
      </c>
      <c r="F180" t="s">
        <v>542</v>
      </c>
      <c r="G180" t="s">
        <v>548</v>
      </c>
      <c r="H180" t="s">
        <v>138</v>
      </c>
      <c r="I180" t="s">
        <v>36</v>
      </c>
      <c r="J180">
        <v>11</v>
      </c>
      <c r="K180">
        <v>75</v>
      </c>
      <c r="L180" t="s">
        <v>5</v>
      </c>
      <c r="M180" t="s">
        <v>37</v>
      </c>
      <c r="N180" t="s">
        <v>549</v>
      </c>
      <c r="O180" t="s">
        <v>37</v>
      </c>
      <c r="P180" t="s">
        <v>37</v>
      </c>
    </row>
    <row r="181" spans="1:16" x14ac:dyDescent="0.25">
      <c r="A181" t="s">
        <v>266</v>
      </c>
      <c r="B181" t="s">
        <v>31</v>
      </c>
      <c r="C181" t="str">
        <f t="shared" si="2"/>
        <v>VZB40_S1</v>
      </c>
      <c r="D181" t="s">
        <v>550</v>
      </c>
      <c r="E181">
        <v>1</v>
      </c>
      <c r="F181" t="s">
        <v>551</v>
      </c>
      <c r="G181" t="s">
        <v>54</v>
      </c>
      <c r="H181" t="s">
        <v>138</v>
      </c>
      <c r="I181" t="s">
        <v>36</v>
      </c>
      <c r="J181">
        <v>12</v>
      </c>
      <c r="K181">
        <v>0</v>
      </c>
      <c r="L181" t="s">
        <v>5</v>
      </c>
      <c r="M181" t="s">
        <v>37</v>
      </c>
      <c r="N181" t="s">
        <v>127</v>
      </c>
      <c r="O181" t="s">
        <v>552</v>
      </c>
      <c r="P181" t="s">
        <v>37</v>
      </c>
    </row>
    <row r="182" spans="1:16" x14ac:dyDescent="0.25">
      <c r="A182" t="s">
        <v>266</v>
      </c>
      <c r="B182" t="s">
        <v>31</v>
      </c>
      <c r="C182" t="str">
        <f t="shared" si="2"/>
        <v>VZB40_S2</v>
      </c>
      <c r="D182" t="s">
        <v>550</v>
      </c>
      <c r="E182">
        <v>2</v>
      </c>
      <c r="F182" t="s">
        <v>551</v>
      </c>
      <c r="G182" t="s">
        <v>49</v>
      </c>
      <c r="H182" t="s">
        <v>138</v>
      </c>
      <c r="I182" t="s">
        <v>36</v>
      </c>
      <c r="J182">
        <v>12</v>
      </c>
      <c r="K182">
        <v>10</v>
      </c>
      <c r="L182" t="s">
        <v>5</v>
      </c>
      <c r="M182" t="s">
        <v>37</v>
      </c>
      <c r="N182" t="s">
        <v>553</v>
      </c>
      <c r="O182" t="s">
        <v>552</v>
      </c>
      <c r="P182" t="s">
        <v>37</v>
      </c>
    </row>
    <row r="183" spans="1:16" x14ac:dyDescent="0.25">
      <c r="A183" t="s">
        <v>266</v>
      </c>
      <c r="B183" t="s">
        <v>31</v>
      </c>
      <c r="C183" t="str">
        <f t="shared" si="2"/>
        <v>VZB41_S1</v>
      </c>
      <c r="D183" t="s">
        <v>554</v>
      </c>
      <c r="E183">
        <v>1</v>
      </c>
      <c r="F183" t="s">
        <v>555</v>
      </c>
      <c r="G183" t="s">
        <v>54</v>
      </c>
      <c r="H183" t="s">
        <v>138</v>
      </c>
      <c r="I183" t="s">
        <v>36</v>
      </c>
      <c r="J183">
        <v>13</v>
      </c>
      <c r="K183">
        <v>0</v>
      </c>
      <c r="L183" t="s">
        <v>5</v>
      </c>
      <c r="M183" t="s">
        <v>37</v>
      </c>
      <c r="N183" t="s">
        <v>127</v>
      </c>
      <c r="O183" t="s">
        <v>556</v>
      </c>
      <c r="P183" t="s">
        <v>37</v>
      </c>
    </row>
    <row r="184" spans="1:16" x14ac:dyDescent="0.25">
      <c r="A184" t="s">
        <v>266</v>
      </c>
      <c r="B184" t="s">
        <v>31</v>
      </c>
      <c r="C184" t="str">
        <f t="shared" si="2"/>
        <v>VZB41_S2</v>
      </c>
      <c r="D184" t="s">
        <v>554</v>
      </c>
      <c r="E184">
        <v>2</v>
      </c>
      <c r="F184" t="s">
        <v>555</v>
      </c>
      <c r="G184" t="s">
        <v>49</v>
      </c>
      <c r="H184" t="s">
        <v>138</v>
      </c>
      <c r="I184" t="s">
        <v>36</v>
      </c>
      <c r="J184">
        <v>13</v>
      </c>
      <c r="K184">
        <v>50</v>
      </c>
      <c r="L184" t="s">
        <v>5</v>
      </c>
      <c r="M184" t="s">
        <v>37</v>
      </c>
      <c r="N184" t="s">
        <v>557</v>
      </c>
      <c r="O184" t="s">
        <v>556</v>
      </c>
      <c r="P184" t="s">
        <v>37</v>
      </c>
    </row>
    <row r="185" spans="1:16" x14ac:dyDescent="0.25">
      <c r="A185" t="s">
        <v>266</v>
      </c>
      <c r="B185" t="s">
        <v>31</v>
      </c>
      <c r="C185" t="str">
        <f t="shared" si="2"/>
        <v>VZB42_S1</v>
      </c>
      <c r="D185" t="s">
        <v>558</v>
      </c>
      <c r="E185">
        <v>1</v>
      </c>
      <c r="F185" t="s">
        <v>559</v>
      </c>
      <c r="G185" t="s">
        <v>54</v>
      </c>
      <c r="H185" t="s">
        <v>138</v>
      </c>
      <c r="I185" t="s">
        <v>36</v>
      </c>
      <c r="J185">
        <v>15</v>
      </c>
      <c r="K185">
        <v>0</v>
      </c>
      <c r="L185" t="s">
        <v>5</v>
      </c>
      <c r="M185" t="s">
        <v>37</v>
      </c>
      <c r="N185" t="s">
        <v>127</v>
      </c>
      <c r="O185" t="s">
        <v>560</v>
      </c>
      <c r="P185" t="s">
        <v>37</v>
      </c>
    </row>
    <row r="186" spans="1:16" x14ac:dyDescent="0.25">
      <c r="A186" t="s">
        <v>266</v>
      </c>
      <c r="B186" t="s">
        <v>31</v>
      </c>
      <c r="C186" t="str">
        <f t="shared" si="2"/>
        <v>VZB42_S2</v>
      </c>
      <c r="D186" t="s">
        <v>558</v>
      </c>
      <c r="E186">
        <v>2</v>
      </c>
      <c r="F186" t="s">
        <v>559</v>
      </c>
      <c r="G186" t="s">
        <v>49</v>
      </c>
      <c r="H186" t="s">
        <v>138</v>
      </c>
      <c r="I186" t="s">
        <v>36</v>
      </c>
      <c r="J186">
        <v>15</v>
      </c>
      <c r="K186">
        <v>75</v>
      </c>
      <c r="L186" t="s">
        <v>5</v>
      </c>
      <c r="M186" t="s">
        <v>37</v>
      </c>
      <c r="N186" t="s">
        <v>561</v>
      </c>
      <c r="O186" t="s">
        <v>560</v>
      </c>
      <c r="P186" t="s">
        <v>37</v>
      </c>
    </row>
    <row r="187" spans="1:16" x14ac:dyDescent="0.25">
      <c r="A187" t="s">
        <v>266</v>
      </c>
      <c r="B187" t="s">
        <v>31</v>
      </c>
      <c r="C187" t="str">
        <f t="shared" si="2"/>
        <v>VZB43_S1</v>
      </c>
      <c r="D187" t="s">
        <v>562</v>
      </c>
      <c r="E187">
        <v>1</v>
      </c>
      <c r="F187" t="s">
        <v>563</v>
      </c>
      <c r="G187" t="s">
        <v>54</v>
      </c>
      <c r="H187" t="s">
        <v>138</v>
      </c>
      <c r="I187" t="s">
        <v>36</v>
      </c>
      <c r="J187">
        <v>24</v>
      </c>
      <c r="K187">
        <v>0</v>
      </c>
      <c r="L187" t="s">
        <v>5</v>
      </c>
      <c r="M187" t="s">
        <v>37</v>
      </c>
      <c r="N187" t="s">
        <v>160</v>
      </c>
      <c r="O187" t="s">
        <v>564</v>
      </c>
      <c r="P187" t="s">
        <v>37</v>
      </c>
    </row>
    <row r="188" spans="1:16" x14ac:dyDescent="0.25">
      <c r="A188" t="s">
        <v>266</v>
      </c>
      <c r="B188" t="s">
        <v>31</v>
      </c>
      <c r="C188" t="str">
        <f t="shared" si="2"/>
        <v>VZB43_S2</v>
      </c>
      <c r="D188" t="s">
        <v>562</v>
      </c>
      <c r="E188">
        <v>2</v>
      </c>
      <c r="F188" t="s">
        <v>563</v>
      </c>
      <c r="G188" t="s">
        <v>49</v>
      </c>
      <c r="H188" t="s">
        <v>138</v>
      </c>
      <c r="I188" t="s">
        <v>36</v>
      </c>
      <c r="J188">
        <v>24</v>
      </c>
      <c r="K188">
        <v>0</v>
      </c>
      <c r="L188" t="s">
        <v>5</v>
      </c>
      <c r="M188" t="s">
        <v>37</v>
      </c>
      <c r="N188" t="s">
        <v>565</v>
      </c>
      <c r="O188" t="s">
        <v>564</v>
      </c>
      <c r="P188" t="s">
        <v>37</v>
      </c>
    </row>
    <row r="189" spans="1:16" x14ac:dyDescent="0.25">
      <c r="A189" t="s">
        <v>266</v>
      </c>
      <c r="B189" t="s">
        <v>31</v>
      </c>
      <c r="C189" t="str">
        <f t="shared" si="2"/>
        <v>VZB44_S1</v>
      </c>
      <c r="D189" t="s">
        <v>566</v>
      </c>
      <c r="E189">
        <v>1</v>
      </c>
      <c r="F189" t="s">
        <v>567</v>
      </c>
      <c r="G189" t="s">
        <v>54</v>
      </c>
      <c r="H189" t="s">
        <v>138</v>
      </c>
      <c r="I189" t="s">
        <v>36</v>
      </c>
      <c r="J189">
        <v>25</v>
      </c>
      <c r="K189">
        <v>0</v>
      </c>
      <c r="L189" t="s">
        <v>5</v>
      </c>
      <c r="M189" t="s">
        <v>37</v>
      </c>
      <c r="N189" t="s">
        <v>568</v>
      </c>
      <c r="O189" t="s">
        <v>569</v>
      </c>
      <c r="P189" t="s">
        <v>37</v>
      </c>
    </row>
    <row r="190" spans="1:16" x14ac:dyDescent="0.25">
      <c r="A190" t="s">
        <v>266</v>
      </c>
      <c r="B190" t="s">
        <v>31</v>
      </c>
      <c r="C190" t="str">
        <f t="shared" si="2"/>
        <v>VZB44_S2</v>
      </c>
      <c r="D190" t="s">
        <v>566</v>
      </c>
      <c r="E190">
        <v>2</v>
      </c>
      <c r="F190" t="s">
        <v>567</v>
      </c>
      <c r="G190" t="s">
        <v>49</v>
      </c>
      <c r="H190" t="s">
        <v>138</v>
      </c>
      <c r="I190" t="s">
        <v>36</v>
      </c>
      <c r="J190">
        <v>25</v>
      </c>
      <c r="K190">
        <v>0</v>
      </c>
      <c r="L190" t="s">
        <v>5</v>
      </c>
      <c r="M190" t="s">
        <v>37</v>
      </c>
      <c r="N190" t="s">
        <v>570</v>
      </c>
      <c r="O190" t="s">
        <v>569</v>
      </c>
      <c r="P190" t="s">
        <v>37</v>
      </c>
    </row>
    <row r="191" spans="1:16" x14ac:dyDescent="0.25">
      <c r="A191" t="s">
        <v>266</v>
      </c>
      <c r="B191" t="s">
        <v>31</v>
      </c>
      <c r="C191" t="str">
        <f t="shared" si="2"/>
        <v>VZB45_S1</v>
      </c>
      <c r="D191" t="s">
        <v>571</v>
      </c>
      <c r="E191">
        <v>1</v>
      </c>
      <c r="F191" t="s">
        <v>572</v>
      </c>
      <c r="G191" t="s">
        <v>54</v>
      </c>
      <c r="H191" t="s">
        <v>138</v>
      </c>
      <c r="I191" t="s">
        <v>36</v>
      </c>
      <c r="J191">
        <v>25</v>
      </c>
      <c r="K191">
        <v>0</v>
      </c>
      <c r="L191" t="s">
        <v>5</v>
      </c>
      <c r="M191" t="s">
        <v>37</v>
      </c>
      <c r="N191" t="s">
        <v>573</v>
      </c>
      <c r="O191" t="s">
        <v>574</v>
      </c>
      <c r="P191" t="s">
        <v>37</v>
      </c>
    </row>
    <row r="192" spans="1:16" x14ac:dyDescent="0.25">
      <c r="A192" t="s">
        <v>266</v>
      </c>
      <c r="B192" t="s">
        <v>31</v>
      </c>
      <c r="C192" t="str">
        <f t="shared" si="2"/>
        <v>VZB45_S2</v>
      </c>
      <c r="D192" t="s">
        <v>571</v>
      </c>
      <c r="E192">
        <v>2</v>
      </c>
      <c r="F192" t="s">
        <v>572</v>
      </c>
      <c r="G192" t="s">
        <v>575</v>
      </c>
      <c r="H192" t="s">
        <v>138</v>
      </c>
      <c r="I192" t="s">
        <v>36</v>
      </c>
      <c r="J192">
        <v>25</v>
      </c>
      <c r="K192">
        <v>50</v>
      </c>
      <c r="L192" t="s">
        <v>5</v>
      </c>
      <c r="M192" t="s">
        <v>37</v>
      </c>
      <c r="N192" t="s">
        <v>576</v>
      </c>
      <c r="O192" t="s">
        <v>574</v>
      </c>
      <c r="P192" t="s">
        <v>37</v>
      </c>
    </row>
    <row r="193" spans="1:16" x14ac:dyDescent="0.25">
      <c r="A193" t="s">
        <v>266</v>
      </c>
      <c r="B193" t="s">
        <v>31</v>
      </c>
      <c r="C193" t="str">
        <f t="shared" si="2"/>
        <v>VZB45_S3</v>
      </c>
      <c r="D193" t="s">
        <v>571</v>
      </c>
      <c r="E193">
        <v>3</v>
      </c>
      <c r="F193" t="s">
        <v>572</v>
      </c>
      <c r="G193" t="s">
        <v>49</v>
      </c>
      <c r="H193" t="s">
        <v>138</v>
      </c>
      <c r="I193" t="s">
        <v>36</v>
      </c>
      <c r="J193">
        <v>25</v>
      </c>
      <c r="K193">
        <v>200</v>
      </c>
      <c r="L193" t="s">
        <v>5</v>
      </c>
      <c r="M193" t="s">
        <v>37</v>
      </c>
      <c r="N193" t="s">
        <v>577</v>
      </c>
      <c r="O193" t="s">
        <v>37</v>
      </c>
      <c r="P193" t="s">
        <v>37</v>
      </c>
    </row>
    <row r="194" spans="1:16" x14ac:dyDescent="0.25">
      <c r="A194" s="1" t="s">
        <v>111</v>
      </c>
      <c r="B194" t="s">
        <v>31</v>
      </c>
      <c r="C194" t="str">
        <f t="shared" ref="C194:C257" si="3">_xlfn.CONCAT(D194,"_S",E194)</f>
        <v>VZW1_S1</v>
      </c>
      <c r="D194" t="s">
        <v>578</v>
      </c>
      <c r="E194">
        <v>1</v>
      </c>
      <c r="F194" t="s">
        <v>579</v>
      </c>
      <c r="G194" t="s">
        <v>54</v>
      </c>
      <c r="H194" t="s">
        <v>138</v>
      </c>
      <c r="I194" t="s">
        <v>36</v>
      </c>
      <c r="J194">
        <v>6</v>
      </c>
      <c r="K194">
        <v>0</v>
      </c>
      <c r="L194" t="s">
        <v>5</v>
      </c>
      <c r="M194" t="s">
        <v>37</v>
      </c>
      <c r="N194" t="s">
        <v>127</v>
      </c>
      <c r="O194" t="s">
        <v>580</v>
      </c>
      <c r="P194" t="s">
        <v>37</v>
      </c>
    </row>
    <row r="195" spans="1:16" x14ac:dyDescent="0.25">
      <c r="A195" s="1" t="s">
        <v>111</v>
      </c>
      <c r="B195" t="s">
        <v>31</v>
      </c>
      <c r="C195" t="str">
        <f t="shared" si="3"/>
        <v>VZW1_S2</v>
      </c>
      <c r="D195" t="s">
        <v>578</v>
      </c>
      <c r="E195">
        <v>2</v>
      </c>
      <c r="F195" t="s">
        <v>579</v>
      </c>
      <c r="G195" t="s">
        <v>49</v>
      </c>
      <c r="H195" t="s">
        <v>138</v>
      </c>
      <c r="I195" t="s">
        <v>36</v>
      </c>
      <c r="J195">
        <v>6</v>
      </c>
      <c r="K195">
        <v>25</v>
      </c>
      <c r="L195" t="s">
        <v>5</v>
      </c>
      <c r="M195" t="s">
        <v>37</v>
      </c>
      <c r="N195" t="s">
        <v>581</v>
      </c>
      <c r="O195" t="s">
        <v>580</v>
      </c>
      <c r="P195" t="s">
        <v>37</v>
      </c>
    </row>
    <row r="196" spans="1:16" x14ac:dyDescent="0.25">
      <c r="A196" s="1" t="s">
        <v>111</v>
      </c>
      <c r="B196" t="s">
        <v>31</v>
      </c>
      <c r="C196" t="str">
        <f t="shared" si="3"/>
        <v>VZW2_S1</v>
      </c>
      <c r="D196" t="s">
        <v>582</v>
      </c>
      <c r="E196">
        <v>1</v>
      </c>
      <c r="F196" t="s">
        <v>583</v>
      </c>
      <c r="G196" t="s">
        <v>54</v>
      </c>
      <c r="H196" t="s">
        <v>138</v>
      </c>
      <c r="I196" t="s">
        <v>36</v>
      </c>
      <c r="J196">
        <v>7</v>
      </c>
      <c r="K196">
        <v>0</v>
      </c>
      <c r="L196" t="s">
        <v>5</v>
      </c>
      <c r="M196" t="s">
        <v>37</v>
      </c>
      <c r="N196" t="s">
        <v>127</v>
      </c>
      <c r="O196" t="s">
        <v>584</v>
      </c>
      <c r="P196" t="s">
        <v>37</v>
      </c>
    </row>
    <row r="197" spans="1:16" x14ac:dyDescent="0.25">
      <c r="A197" s="1" t="s">
        <v>111</v>
      </c>
      <c r="B197" t="s">
        <v>31</v>
      </c>
      <c r="C197" t="str">
        <f t="shared" si="3"/>
        <v>VZW2_S2a</v>
      </c>
      <c r="D197" t="s">
        <v>582</v>
      </c>
      <c r="E197" t="s">
        <v>72</v>
      </c>
      <c r="F197" t="s">
        <v>583</v>
      </c>
      <c r="G197" t="s">
        <v>585</v>
      </c>
      <c r="H197" t="s">
        <v>138</v>
      </c>
      <c r="I197" t="s">
        <v>36</v>
      </c>
      <c r="J197">
        <v>7</v>
      </c>
      <c r="K197">
        <v>10</v>
      </c>
      <c r="L197" t="s">
        <v>5</v>
      </c>
      <c r="M197" t="s">
        <v>37</v>
      </c>
      <c r="N197" s="2" t="s">
        <v>586</v>
      </c>
      <c r="O197" s="2" t="s">
        <v>584</v>
      </c>
      <c r="P197" s="2" t="s">
        <v>587</v>
      </c>
    </row>
    <row r="198" spans="1:16" x14ac:dyDescent="0.25">
      <c r="A198" s="1" t="s">
        <v>111</v>
      </c>
      <c r="B198" t="s">
        <v>31</v>
      </c>
      <c r="C198" t="str">
        <f t="shared" si="3"/>
        <v>VZW2_S2b</v>
      </c>
      <c r="D198" t="s">
        <v>582</v>
      </c>
      <c r="E198" t="s">
        <v>75</v>
      </c>
      <c r="F198" t="s">
        <v>583</v>
      </c>
      <c r="G198" t="s">
        <v>588</v>
      </c>
      <c r="H198" t="s">
        <v>138</v>
      </c>
      <c r="I198" t="s">
        <v>36</v>
      </c>
      <c r="J198">
        <v>7</v>
      </c>
      <c r="K198">
        <v>35</v>
      </c>
      <c r="L198" t="s">
        <v>5</v>
      </c>
      <c r="M198" t="s">
        <v>37</v>
      </c>
      <c r="N198" s="2" t="s">
        <v>586</v>
      </c>
      <c r="O198" s="2" t="s">
        <v>584</v>
      </c>
      <c r="P198" s="2" t="s">
        <v>589</v>
      </c>
    </row>
    <row r="199" spans="1:16" x14ac:dyDescent="0.25">
      <c r="A199" s="1" t="s">
        <v>111</v>
      </c>
      <c r="B199" t="s">
        <v>31</v>
      </c>
      <c r="C199" t="str">
        <f t="shared" si="3"/>
        <v>VZW3_S1</v>
      </c>
      <c r="D199" t="s">
        <v>590</v>
      </c>
      <c r="E199">
        <v>1</v>
      </c>
      <c r="F199" t="s">
        <v>591</v>
      </c>
      <c r="G199" t="s">
        <v>54</v>
      </c>
      <c r="H199" t="s">
        <v>138</v>
      </c>
      <c r="I199" t="s">
        <v>36</v>
      </c>
      <c r="J199">
        <v>8</v>
      </c>
      <c r="K199">
        <v>0</v>
      </c>
      <c r="L199" t="s">
        <v>5</v>
      </c>
      <c r="M199" t="s">
        <v>37</v>
      </c>
      <c r="N199" t="s">
        <v>160</v>
      </c>
      <c r="O199" t="s">
        <v>592</v>
      </c>
      <c r="P199" t="s">
        <v>37</v>
      </c>
    </row>
    <row r="200" spans="1:16" x14ac:dyDescent="0.25">
      <c r="A200" s="1" t="s">
        <v>111</v>
      </c>
      <c r="B200" t="s">
        <v>31</v>
      </c>
      <c r="C200" t="str">
        <f t="shared" si="3"/>
        <v>VZW3_S2a</v>
      </c>
      <c r="D200" t="s">
        <v>590</v>
      </c>
      <c r="E200" t="s">
        <v>72</v>
      </c>
      <c r="F200" t="s">
        <v>591</v>
      </c>
      <c r="G200" t="s">
        <v>585</v>
      </c>
      <c r="H200" t="s">
        <v>138</v>
      </c>
      <c r="I200" t="s">
        <v>36</v>
      </c>
      <c r="J200">
        <v>8</v>
      </c>
      <c r="K200">
        <v>260</v>
      </c>
      <c r="L200" t="s">
        <v>5</v>
      </c>
      <c r="M200" t="s">
        <v>37</v>
      </c>
      <c r="N200" t="s">
        <v>593</v>
      </c>
      <c r="O200" t="s">
        <v>592</v>
      </c>
      <c r="P200" t="s">
        <v>594</v>
      </c>
    </row>
    <row r="201" spans="1:16" x14ac:dyDescent="0.25">
      <c r="A201" s="1" t="s">
        <v>111</v>
      </c>
      <c r="B201" t="s">
        <v>31</v>
      </c>
      <c r="C201" t="str">
        <f t="shared" si="3"/>
        <v>VZW3_S2b</v>
      </c>
      <c r="D201" t="s">
        <v>590</v>
      </c>
      <c r="E201" t="s">
        <v>75</v>
      </c>
      <c r="F201" t="s">
        <v>591</v>
      </c>
      <c r="G201" t="s">
        <v>588</v>
      </c>
      <c r="H201" t="s">
        <v>138</v>
      </c>
      <c r="I201" t="s">
        <v>36</v>
      </c>
      <c r="J201">
        <v>8</v>
      </c>
      <c r="K201">
        <v>275</v>
      </c>
      <c r="L201" t="s">
        <v>5</v>
      </c>
      <c r="M201" t="s">
        <v>37</v>
      </c>
      <c r="N201" t="s">
        <v>593</v>
      </c>
      <c r="O201" t="s">
        <v>592</v>
      </c>
      <c r="P201" t="s">
        <v>595</v>
      </c>
    </row>
    <row r="202" spans="1:16" x14ac:dyDescent="0.25">
      <c r="A202" s="1" t="s">
        <v>111</v>
      </c>
      <c r="B202" t="s">
        <v>31</v>
      </c>
      <c r="C202" t="str">
        <f t="shared" si="3"/>
        <v>VZW4_S1</v>
      </c>
      <c r="D202" t="s">
        <v>596</v>
      </c>
      <c r="E202">
        <v>1</v>
      </c>
      <c r="F202" t="s">
        <v>597</v>
      </c>
      <c r="G202" t="s">
        <v>54</v>
      </c>
      <c r="H202" t="s">
        <v>138</v>
      </c>
      <c r="I202" t="s">
        <v>36</v>
      </c>
      <c r="J202">
        <v>10</v>
      </c>
      <c r="K202">
        <v>0</v>
      </c>
      <c r="L202" t="s">
        <v>5</v>
      </c>
      <c r="M202" t="s">
        <v>37</v>
      </c>
      <c r="N202" t="s">
        <v>127</v>
      </c>
      <c r="O202" t="s">
        <v>598</v>
      </c>
      <c r="P202" t="s">
        <v>37</v>
      </c>
    </row>
    <row r="203" spans="1:16" x14ac:dyDescent="0.25">
      <c r="A203" s="1" t="s">
        <v>111</v>
      </c>
      <c r="B203" t="s">
        <v>31</v>
      </c>
      <c r="C203" t="str">
        <f t="shared" si="3"/>
        <v>VZW4_S2</v>
      </c>
      <c r="D203" t="s">
        <v>596</v>
      </c>
      <c r="E203">
        <v>2</v>
      </c>
      <c r="F203" t="s">
        <v>597</v>
      </c>
      <c r="G203" t="s">
        <v>49</v>
      </c>
      <c r="H203" t="s">
        <v>138</v>
      </c>
      <c r="I203" t="s">
        <v>36</v>
      </c>
      <c r="J203">
        <v>10</v>
      </c>
      <c r="K203">
        <v>265</v>
      </c>
      <c r="L203" t="s">
        <v>5</v>
      </c>
      <c r="M203" t="s">
        <v>37</v>
      </c>
      <c r="N203" t="s">
        <v>599</v>
      </c>
      <c r="O203" t="s">
        <v>598</v>
      </c>
      <c r="P203" t="s">
        <v>37</v>
      </c>
    </row>
    <row r="204" spans="1:16" x14ac:dyDescent="0.25">
      <c r="A204" s="1" t="s">
        <v>111</v>
      </c>
      <c r="B204" t="s">
        <v>31</v>
      </c>
      <c r="C204" t="str">
        <f t="shared" si="3"/>
        <v>VZW5_S1</v>
      </c>
      <c r="D204" t="s">
        <v>600</v>
      </c>
      <c r="E204">
        <v>1</v>
      </c>
      <c r="F204" t="s">
        <v>601</v>
      </c>
      <c r="G204" t="s">
        <v>54</v>
      </c>
      <c r="H204" t="s">
        <v>138</v>
      </c>
      <c r="I204" t="s">
        <v>36</v>
      </c>
      <c r="J204">
        <v>10</v>
      </c>
      <c r="K204">
        <v>0</v>
      </c>
      <c r="L204" t="s">
        <v>5</v>
      </c>
      <c r="M204" t="s">
        <v>37</v>
      </c>
      <c r="N204" t="s">
        <v>127</v>
      </c>
      <c r="O204" t="s">
        <v>602</v>
      </c>
      <c r="P204" t="s">
        <v>37</v>
      </c>
    </row>
    <row r="205" spans="1:16" x14ac:dyDescent="0.25">
      <c r="A205" s="1" t="s">
        <v>111</v>
      </c>
      <c r="B205" t="s">
        <v>31</v>
      </c>
      <c r="C205" t="str">
        <f t="shared" si="3"/>
        <v>VZW5_S2</v>
      </c>
      <c r="D205" t="s">
        <v>600</v>
      </c>
      <c r="E205">
        <v>2</v>
      </c>
      <c r="F205" t="s">
        <v>601</v>
      </c>
      <c r="G205" t="s">
        <v>49</v>
      </c>
      <c r="H205" t="s">
        <v>138</v>
      </c>
      <c r="I205" t="s">
        <v>36</v>
      </c>
      <c r="J205">
        <v>10</v>
      </c>
      <c r="K205">
        <v>250</v>
      </c>
      <c r="L205" t="s">
        <v>5</v>
      </c>
      <c r="M205" t="s">
        <v>37</v>
      </c>
      <c r="N205" t="s">
        <v>603</v>
      </c>
      <c r="O205" t="s">
        <v>602</v>
      </c>
      <c r="P205" t="s">
        <v>37</v>
      </c>
    </row>
    <row r="206" spans="1:16" x14ac:dyDescent="0.25">
      <c r="A206" s="1" t="s">
        <v>111</v>
      </c>
      <c r="B206" t="s">
        <v>31</v>
      </c>
      <c r="C206" t="str">
        <f t="shared" si="3"/>
        <v>VZW6_S1</v>
      </c>
      <c r="D206" t="s">
        <v>604</v>
      </c>
      <c r="E206">
        <v>1</v>
      </c>
      <c r="F206" t="s">
        <v>605</v>
      </c>
      <c r="G206" t="s">
        <v>54</v>
      </c>
      <c r="H206" t="s">
        <v>138</v>
      </c>
      <c r="I206" t="s">
        <v>36</v>
      </c>
      <c r="J206">
        <v>12</v>
      </c>
      <c r="K206">
        <v>0</v>
      </c>
      <c r="L206" t="s">
        <v>5</v>
      </c>
      <c r="M206" t="s">
        <v>37</v>
      </c>
      <c r="N206" t="s">
        <v>127</v>
      </c>
      <c r="O206" t="s">
        <v>606</v>
      </c>
      <c r="P206" t="s">
        <v>37</v>
      </c>
    </row>
    <row r="207" spans="1:16" x14ac:dyDescent="0.25">
      <c r="A207" s="1" t="s">
        <v>111</v>
      </c>
      <c r="B207" t="s">
        <v>31</v>
      </c>
      <c r="C207" t="str">
        <f t="shared" si="3"/>
        <v>VZW6_S2</v>
      </c>
      <c r="D207" t="s">
        <v>604</v>
      </c>
      <c r="E207">
        <v>2</v>
      </c>
      <c r="F207" t="s">
        <v>605</v>
      </c>
      <c r="G207" t="s">
        <v>49</v>
      </c>
      <c r="H207" t="s">
        <v>138</v>
      </c>
      <c r="I207" t="s">
        <v>36</v>
      </c>
      <c r="J207">
        <v>12</v>
      </c>
      <c r="K207">
        <v>265</v>
      </c>
      <c r="L207" t="s">
        <v>5</v>
      </c>
      <c r="M207" t="s">
        <v>37</v>
      </c>
      <c r="N207" t="s">
        <v>607</v>
      </c>
      <c r="O207" t="s">
        <v>606</v>
      </c>
      <c r="P207" t="s">
        <v>37</v>
      </c>
    </row>
    <row r="208" spans="1:16" x14ac:dyDescent="0.25">
      <c r="A208" s="1" t="s">
        <v>111</v>
      </c>
      <c r="B208" t="s">
        <v>31</v>
      </c>
      <c r="C208" t="str">
        <f t="shared" si="3"/>
        <v>VZW7_S1</v>
      </c>
      <c r="D208" t="s">
        <v>608</v>
      </c>
      <c r="E208">
        <v>1</v>
      </c>
      <c r="F208" t="s">
        <v>609</v>
      </c>
      <c r="G208" t="s">
        <v>54</v>
      </c>
      <c r="H208" t="s">
        <v>138</v>
      </c>
      <c r="I208" t="s">
        <v>36</v>
      </c>
      <c r="J208">
        <v>20</v>
      </c>
      <c r="K208">
        <v>0</v>
      </c>
      <c r="L208" t="s">
        <v>5</v>
      </c>
      <c r="M208" t="s">
        <v>37</v>
      </c>
      <c r="N208" t="s">
        <v>127</v>
      </c>
      <c r="O208" t="s">
        <v>610</v>
      </c>
      <c r="P208" t="s">
        <v>37</v>
      </c>
    </row>
    <row r="209" spans="1:16" x14ac:dyDescent="0.25">
      <c r="A209" s="1" t="s">
        <v>111</v>
      </c>
      <c r="B209" t="s">
        <v>31</v>
      </c>
      <c r="C209" t="str">
        <f t="shared" si="3"/>
        <v>VZW7_S2</v>
      </c>
      <c r="D209" t="s">
        <v>608</v>
      </c>
      <c r="E209">
        <v>2</v>
      </c>
      <c r="F209" t="s">
        <v>609</v>
      </c>
      <c r="G209" t="s">
        <v>49</v>
      </c>
      <c r="H209" t="s">
        <v>138</v>
      </c>
      <c r="I209" t="s">
        <v>36</v>
      </c>
      <c r="J209">
        <v>20</v>
      </c>
      <c r="K209">
        <v>400</v>
      </c>
      <c r="L209" t="s">
        <v>5</v>
      </c>
      <c r="M209" t="s">
        <v>37</v>
      </c>
      <c r="N209" t="s">
        <v>611</v>
      </c>
      <c r="O209" t="s">
        <v>610</v>
      </c>
      <c r="P209" t="s">
        <v>37</v>
      </c>
    </row>
    <row r="210" spans="1:16" x14ac:dyDescent="0.25">
      <c r="A210" s="1" t="s">
        <v>111</v>
      </c>
      <c r="B210" t="s">
        <v>31</v>
      </c>
      <c r="C210" t="str">
        <f t="shared" si="3"/>
        <v>VZW8_S1</v>
      </c>
      <c r="D210" t="s">
        <v>612</v>
      </c>
      <c r="E210">
        <v>1</v>
      </c>
      <c r="F210" t="s">
        <v>613</v>
      </c>
      <c r="G210" t="s">
        <v>54</v>
      </c>
      <c r="H210" t="s">
        <v>138</v>
      </c>
      <c r="I210" t="s">
        <v>36</v>
      </c>
      <c r="J210">
        <v>22</v>
      </c>
      <c r="K210">
        <v>0</v>
      </c>
      <c r="L210" t="s">
        <v>5</v>
      </c>
      <c r="M210" t="s">
        <v>37</v>
      </c>
      <c r="N210" t="s">
        <v>127</v>
      </c>
      <c r="O210" t="s">
        <v>614</v>
      </c>
      <c r="P210" t="s">
        <v>37</v>
      </c>
    </row>
    <row r="211" spans="1:16" x14ac:dyDescent="0.25">
      <c r="A211" s="1" t="s">
        <v>111</v>
      </c>
      <c r="B211" t="s">
        <v>31</v>
      </c>
      <c r="C211" t="str">
        <f t="shared" si="3"/>
        <v>VZW8_S2</v>
      </c>
      <c r="D211" t="s">
        <v>612</v>
      </c>
      <c r="E211">
        <v>2</v>
      </c>
      <c r="F211" t="s">
        <v>613</v>
      </c>
      <c r="G211" t="s">
        <v>49</v>
      </c>
      <c r="H211" t="s">
        <v>138</v>
      </c>
      <c r="I211" t="s">
        <v>36</v>
      </c>
      <c r="J211">
        <v>22</v>
      </c>
      <c r="K211">
        <v>325</v>
      </c>
      <c r="L211" t="s">
        <v>5</v>
      </c>
      <c r="M211" t="s">
        <v>37</v>
      </c>
      <c r="N211" t="s">
        <v>615</v>
      </c>
      <c r="O211" t="s">
        <v>614</v>
      </c>
      <c r="P211" t="s">
        <v>37</v>
      </c>
    </row>
    <row r="212" spans="1:16" x14ac:dyDescent="0.25">
      <c r="A212" s="1" t="s">
        <v>111</v>
      </c>
      <c r="B212" t="s">
        <v>31</v>
      </c>
      <c r="C212" t="str">
        <f t="shared" si="3"/>
        <v>VZW9_S1</v>
      </c>
      <c r="D212" t="s">
        <v>616</v>
      </c>
      <c r="E212">
        <v>1</v>
      </c>
      <c r="F212" t="s">
        <v>617</v>
      </c>
      <c r="G212" t="s">
        <v>54</v>
      </c>
      <c r="H212" t="s">
        <v>138</v>
      </c>
      <c r="I212" t="s">
        <v>36</v>
      </c>
      <c r="J212">
        <v>23</v>
      </c>
      <c r="K212">
        <v>0</v>
      </c>
      <c r="L212" t="s">
        <v>5</v>
      </c>
      <c r="M212" t="s">
        <v>37</v>
      </c>
      <c r="N212" t="s">
        <v>127</v>
      </c>
      <c r="O212" t="s">
        <v>618</v>
      </c>
      <c r="P212" t="s">
        <v>37</v>
      </c>
    </row>
    <row r="213" spans="1:16" x14ac:dyDescent="0.25">
      <c r="A213" s="1" t="s">
        <v>111</v>
      </c>
      <c r="B213" t="s">
        <v>31</v>
      </c>
      <c r="C213" t="str">
        <f t="shared" si="3"/>
        <v>VZW9_S2</v>
      </c>
      <c r="D213" t="s">
        <v>616</v>
      </c>
      <c r="E213">
        <v>2</v>
      </c>
      <c r="F213" t="s">
        <v>617</v>
      </c>
      <c r="G213" t="s">
        <v>49</v>
      </c>
      <c r="H213" t="s">
        <v>138</v>
      </c>
      <c r="I213" t="s">
        <v>36</v>
      </c>
      <c r="J213">
        <v>23</v>
      </c>
      <c r="K213">
        <v>280</v>
      </c>
      <c r="L213" t="s">
        <v>5</v>
      </c>
      <c r="M213" t="s">
        <v>37</v>
      </c>
      <c r="N213" t="s">
        <v>619</v>
      </c>
      <c r="O213" t="s">
        <v>618</v>
      </c>
      <c r="P213" t="s">
        <v>37</v>
      </c>
    </row>
    <row r="214" spans="1:16" x14ac:dyDescent="0.25">
      <c r="A214" s="1" t="s">
        <v>111</v>
      </c>
      <c r="B214" t="s">
        <v>31</v>
      </c>
      <c r="C214" t="str">
        <f t="shared" si="3"/>
        <v>VZW10_S1</v>
      </c>
      <c r="D214" t="s">
        <v>620</v>
      </c>
      <c r="E214">
        <v>1</v>
      </c>
      <c r="F214" t="s">
        <v>621</v>
      </c>
      <c r="G214" t="s">
        <v>54</v>
      </c>
      <c r="H214" t="s">
        <v>138</v>
      </c>
      <c r="I214" t="s">
        <v>36</v>
      </c>
      <c r="J214">
        <v>24</v>
      </c>
      <c r="K214">
        <v>0</v>
      </c>
      <c r="L214" t="s">
        <v>5</v>
      </c>
      <c r="M214" t="s">
        <v>37</v>
      </c>
      <c r="N214" t="s">
        <v>622</v>
      </c>
      <c r="O214" t="s">
        <v>623</v>
      </c>
      <c r="P214" t="s">
        <v>37</v>
      </c>
    </row>
    <row r="215" spans="1:16" x14ac:dyDescent="0.25">
      <c r="A215" s="1" t="s">
        <v>111</v>
      </c>
      <c r="B215" t="s">
        <v>31</v>
      </c>
      <c r="C215" t="str">
        <f t="shared" si="3"/>
        <v>VZW10_S2</v>
      </c>
      <c r="D215" t="s">
        <v>620</v>
      </c>
      <c r="E215">
        <v>2</v>
      </c>
      <c r="F215" t="s">
        <v>621</v>
      </c>
      <c r="G215" t="s">
        <v>49</v>
      </c>
      <c r="H215" t="s">
        <v>138</v>
      </c>
      <c r="I215" t="s">
        <v>36</v>
      </c>
      <c r="J215">
        <v>24</v>
      </c>
      <c r="K215">
        <v>0</v>
      </c>
      <c r="L215" t="s">
        <v>5</v>
      </c>
      <c r="M215" t="s">
        <v>37</v>
      </c>
      <c r="N215" t="s">
        <v>624</v>
      </c>
      <c r="O215" t="s">
        <v>623</v>
      </c>
      <c r="P215" t="s">
        <v>37</v>
      </c>
    </row>
    <row r="216" spans="1:16" x14ac:dyDescent="0.25">
      <c r="A216" s="1" t="s">
        <v>111</v>
      </c>
      <c r="B216" t="s">
        <v>31</v>
      </c>
      <c r="C216" t="str">
        <f t="shared" si="3"/>
        <v>VZW11_S1</v>
      </c>
      <c r="D216" t="s">
        <v>625</v>
      </c>
      <c r="E216">
        <v>1</v>
      </c>
      <c r="F216" t="s">
        <v>626</v>
      </c>
      <c r="G216" t="s">
        <v>54</v>
      </c>
      <c r="H216" t="s">
        <v>138</v>
      </c>
      <c r="I216" t="s">
        <v>36</v>
      </c>
      <c r="J216">
        <v>25</v>
      </c>
      <c r="K216">
        <v>0</v>
      </c>
      <c r="L216" t="s">
        <v>5</v>
      </c>
      <c r="M216" t="s">
        <v>37</v>
      </c>
      <c r="N216" t="s">
        <v>127</v>
      </c>
      <c r="O216" t="s">
        <v>627</v>
      </c>
      <c r="P216" t="s">
        <v>37</v>
      </c>
    </row>
    <row r="217" spans="1:16" x14ac:dyDescent="0.25">
      <c r="A217" s="1" t="s">
        <v>111</v>
      </c>
      <c r="B217" t="s">
        <v>31</v>
      </c>
      <c r="C217" t="str">
        <f t="shared" si="3"/>
        <v>VZW11_S2</v>
      </c>
      <c r="D217" t="s">
        <v>625</v>
      </c>
      <c r="E217">
        <v>2</v>
      </c>
      <c r="F217" t="s">
        <v>626</v>
      </c>
      <c r="G217" t="s">
        <v>49</v>
      </c>
      <c r="H217" t="s">
        <v>138</v>
      </c>
      <c r="I217" t="s">
        <v>36</v>
      </c>
      <c r="J217">
        <v>25</v>
      </c>
      <c r="K217">
        <v>0</v>
      </c>
      <c r="L217" t="s">
        <v>5</v>
      </c>
      <c r="M217" t="s">
        <v>37</v>
      </c>
      <c r="N217" t="s">
        <v>628</v>
      </c>
      <c r="O217" t="s">
        <v>627</v>
      </c>
      <c r="P217" t="s">
        <v>37</v>
      </c>
    </row>
    <row r="218" spans="1:16" x14ac:dyDescent="0.25">
      <c r="A218" s="1" t="s">
        <v>111</v>
      </c>
      <c r="B218" t="s">
        <v>31</v>
      </c>
      <c r="C218" t="str">
        <f t="shared" si="3"/>
        <v>VZW12_S1</v>
      </c>
      <c r="D218" t="s">
        <v>629</v>
      </c>
      <c r="E218">
        <v>1</v>
      </c>
      <c r="F218" t="s">
        <v>630</v>
      </c>
      <c r="G218" t="s">
        <v>54</v>
      </c>
      <c r="H218" t="s">
        <v>138</v>
      </c>
      <c r="I218" t="s">
        <v>36</v>
      </c>
      <c r="J218">
        <v>33</v>
      </c>
      <c r="K218">
        <v>0</v>
      </c>
      <c r="L218" t="s">
        <v>5</v>
      </c>
      <c r="M218" t="s">
        <v>37</v>
      </c>
      <c r="N218" t="s">
        <v>127</v>
      </c>
      <c r="O218" t="s">
        <v>631</v>
      </c>
      <c r="P218" t="s">
        <v>37</v>
      </c>
    </row>
    <row r="219" spans="1:16" x14ac:dyDescent="0.25">
      <c r="A219" s="1" t="s">
        <v>111</v>
      </c>
      <c r="B219" t="s">
        <v>31</v>
      </c>
      <c r="C219" t="str">
        <f t="shared" si="3"/>
        <v>VZW12_S2a</v>
      </c>
      <c r="D219" t="s">
        <v>629</v>
      </c>
      <c r="E219" t="s">
        <v>72</v>
      </c>
      <c r="F219" t="s">
        <v>630</v>
      </c>
      <c r="G219" t="s">
        <v>632</v>
      </c>
      <c r="H219" t="s">
        <v>138</v>
      </c>
      <c r="I219" t="s">
        <v>36</v>
      </c>
      <c r="J219">
        <v>33</v>
      </c>
      <c r="K219">
        <v>200</v>
      </c>
      <c r="L219" t="s">
        <v>5</v>
      </c>
      <c r="M219" t="s">
        <v>37</v>
      </c>
      <c r="N219" t="s">
        <v>633</v>
      </c>
      <c r="O219" t="s">
        <v>631</v>
      </c>
      <c r="P219" t="s">
        <v>634</v>
      </c>
    </row>
    <row r="220" spans="1:16" x14ac:dyDescent="0.25">
      <c r="A220" s="1" t="s">
        <v>111</v>
      </c>
      <c r="B220" t="s">
        <v>31</v>
      </c>
      <c r="C220" t="str">
        <f t="shared" si="3"/>
        <v>VZW12_S2b</v>
      </c>
      <c r="D220" t="s">
        <v>629</v>
      </c>
      <c r="E220" t="s">
        <v>75</v>
      </c>
      <c r="F220" t="s">
        <v>630</v>
      </c>
      <c r="G220" t="s">
        <v>635</v>
      </c>
      <c r="H220" t="s">
        <v>138</v>
      </c>
      <c r="I220" t="s">
        <v>36</v>
      </c>
      <c r="J220">
        <v>33</v>
      </c>
      <c r="K220">
        <v>240</v>
      </c>
      <c r="L220" t="s">
        <v>5</v>
      </c>
      <c r="M220" t="s">
        <v>37</v>
      </c>
      <c r="N220" t="s">
        <v>633</v>
      </c>
      <c r="O220" t="s">
        <v>631</v>
      </c>
      <c r="P220" t="s">
        <v>636</v>
      </c>
    </row>
    <row r="221" spans="1:16" x14ac:dyDescent="0.25">
      <c r="A221" s="1" t="s">
        <v>111</v>
      </c>
      <c r="B221" t="s">
        <v>31</v>
      </c>
      <c r="C221" t="str">
        <f t="shared" si="3"/>
        <v>VZW12_S2c</v>
      </c>
      <c r="D221" t="s">
        <v>629</v>
      </c>
      <c r="E221" t="s">
        <v>78</v>
      </c>
      <c r="F221" t="s">
        <v>630</v>
      </c>
      <c r="G221" t="s">
        <v>637</v>
      </c>
      <c r="H221" t="s">
        <v>138</v>
      </c>
      <c r="I221" t="s">
        <v>36</v>
      </c>
      <c r="J221">
        <v>33</v>
      </c>
      <c r="K221">
        <v>300</v>
      </c>
      <c r="L221" t="s">
        <v>5</v>
      </c>
      <c r="M221" t="s">
        <v>37</v>
      </c>
      <c r="N221" t="s">
        <v>633</v>
      </c>
      <c r="O221" t="s">
        <v>631</v>
      </c>
      <c r="P221" t="s">
        <v>638</v>
      </c>
    </row>
    <row r="222" spans="1:16" x14ac:dyDescent="0.25">
      <c r="A222" s="3" t="s">
        <v>30</v>
      </c>
      <c r="B222" s="3" t="s">
        <v>639</v>
      </c>
      <c r="C222" s="3" t="str">
        <f t="shared" si="3"/>
        <v>SZKF1_S1</v>
      </c>
      <c r="D222" s="3" t="s">
        <v>640</v>
      </c>
      <c r="E222" s="3">
        <v>1</v>
      </c>
      <c r="F222" s="3" t="s">
        <v>641</v>
      </c>
      <c r="G222" s="3" t="s">
        <v>54</v>
      </c>
      <c r="H222" s="3" t="s">
        <v>138</v>
      </c>
      <c r="I222" t="s">
        <v>36</v>
      </c>
      <c r="J222" s="3">
        <v>32</v>
      </c>
      <c r="K222" s="3">
        <v>0</v>
      </c>
      <c r="L222" t="s">
        <v>8</v>
      </c>
      <c r="M222" t="s">
        <v>37</v>
      </c>
      <c r="N222" t="s">
        <v>127</v>
      </c>
      <c r="O222" t="s">
        <v>642</v>
      </c>
      <c r="P222" t="s">
        <v>37</v>
      </c>
    </row>
    <row r="223" spans="1:16" x14ac:dyDescent="0.25">
      <c r="A223" s="3" t="s">
        <v>30</v>
      </c>
      <c r="B223" s="3" t="s">
        <v>639</v>
      </c>
      <c r="C223" s="3" t="str">
        <f t="shared" si="3"/>
        <v>SZKF1_S2a</v>
      </c>
      <c r="D223" s="3" t="s">
        <v>640</v>
      </c>
      <c r="E223" s="3" t="s">
        <v>72</v>
      </c>
      <c r="F223" s="3" t="s">
        <v>641</v>
      </c>
      <c r="G223" s="3" t="s">
        <v>643</v>
      </c>
      <c r="H223" s="3" t="s">
        <v>138</v>
      </c>
      <c r="I223" t="s">
        <v>36</v>
      </c>
      <c r="J223" s="3">
        <v>32</v>
      </c>
      <c r="K223" s="3">
        <v>150</v>
      </c>
      <c r="L223" t="s">
        <v>8</v>
      </c>
      <c r="M223" t="s">
        <v>37</v>
      </c>
      <c r="N223" t="s">
        <v>644</v>
      </c>
      <c r="O223" t="s">
        <v>642</v>
      </c>
      <c r="P223" t="s">
        <v>645</v>
      </c>
    </row>
    <row r="224" spans="1:16" x14ac:dyDescent="0.25">
      <c r="A224" s="3" t="s">
        <v>30</v>
      </c>
      <c r="B224" s="3" t="s">
        <v>639</v>
      </c>
      <c r="C224" s="3" t="str">
        <f t="shared" si="3"/>
        <v>SZKF1_S2b</v>
      </c>
      <c r="D224" s="3" t="s">
        <v>640</v>
      </c>
      <c r="E224" s="3" t="s">
        <v>75</v>
      </c>
      <c r="F224" s="3" t="s">
        <v>641</v>
      </c>
      <c r="G224" s="3" t="s">
        <v>646</v>
      </c>
      <c r="H224" s="3" t="s">
        <v>138</v>
      </c>
      <c r="I224" t="s">
        <v>36</v>
      </c>
      <c r="J224" s="3">
        <v>32</v>
      </c>
      <c r="K224" s="3">
        <v>0</v>
      </c>
      <c r="L224" t="s">
        <v>8</v>
      </c>
      <c r="M224" t="s">
        <v>37</v>
      </c>
      <c r="N224" t="s">
        <v>644</v>
      </c>
      <c r="O224" t="s">
        <v>642</v>
      </c>
      <c r="P224" t="s">
        <v>647</v>
      </c>
    </row>
    <row r="225" spans="1:16" x14ac:dyDescent="0.25">
      <c r="A225" s="3" t="s">
        <v>30</v>
      </c>
      <c r="B225" s="3" t="s">
        <v>639</v>
      </c>
      <c r="C225" s="3" t="str">
        <f t="shared" si="3"/>
        <v>SZKF1_S3</v>
      </c>
      <c r="D225" s="3" t="s">
        <v>640</v>
      </c>
      <c r="E225" s="3">
        <v>3</v>
      </c>
      <c r="F225" s="3" t="s">
        <v>641</v>
      </c>
      <c r="G225" s="3" t="s">
        <v>648</v>
      </c>
      <c r="H225" s="3" t="s">
        <v>138</v>
      </c>
      <c r="I225" t="s">
        <v>36</v>
      </c>
      <c r="J225" s="3">
        <v>32</v>
      </c>
      <c r="K225" s="3">
        <v>150</v>
      </c>
      <c r="L225" t="s">
        <v>8</v>
      </c>
      <c r="M225" t="s">
        <v>37</v>
      </c>
      <c r="N225" t="s">
        <v>649</v>
      </c>
      <c r="O225" t="s">
        <v>642</v>
      </c>
      <c r="P225" t="s">
        <v>37</v>
      </c>
    </row>
    <row r="226" spans="1:16" x14ac:dyDescent="0.25">
      <c r="A226" s="3" t="s">
        <v>30</v>
      </c>
      <c r="B226" s="3" t="s">
        <v>639</v>
      </c>
      <c r="C226" s="3" t="str">
        <f t="shared" si="3"/>
        <v>SZKF1_S4</v>
      </c>
      <c r="D226" s="3" t="s">
        <v>640</v>
      </c>
      <c r="E226" s="3">
        <v>4</v>
      </c>
      <c r="F226" s="3" t="s">
        <v>641</v>
      </c>
      <c r="G226" s="3" t="s">
        <v>650</v>
      </c>
      <c r="H226" s="3" t="s">
        <v>138</v>
      </c>
      <c r="I226" t="s">
        <v>36</v>
      </c>
      <c r="J226" s="3">
        <v>32</v>
      </c>
      <c r="K226" s="3">
        <v>600</v>
      </c>
      <c r="L226" t="s">
        <v>8</v>
      </c>
      <c r="M226" t="s">
        <v>37</v>
      </c>
      <c r="N226" t="s">
        <v>651</v>
      </c>
      <c r="O226" t="s">
        <v>652</v>
      </c>
      <c r="P226" t="s">
        <v>37</v>
      </c>
    </row>
    <row r="227" spans="1:16" x14ac:dyDescent="0.25">
      <c r="A227" s="3" t="s">
        <v>30</v>
      </c>
      <c r="B227" s="3" t="s">
        <v>639</v>
      </c>
      <c r="C227" s="3" t="str">
        <f t="shared" si="3"/>
        <v>SZKF1_S5a</v>
      </c>
      <c r="D227" s="3" t="s">
        <v>640</v>
      </c>
      <c r="E227" s="3" t="s">
        <v>60</v>
      </c>
      <c r="F227" s="3" t="s">
        <v>641</v>
      </c>
      <c r="G227" s="3" t="s">
        <v>653</v>
      </c>
      <c r="H227" s="3" t="s">
        <v>138</v>
      </c>
      <c r="I227" t="s">
        <v>36</v>
      </c>
      <c r="J227" s="3">
        <v>32</v>
      </c>
      <c r="K227" s="3">
        <v>200</v>
      </c>
      <c r="L227" t="s">
        <v>8</v>
      </c>
      <c r="M227" t="s">
        <v>37</v>
      </c>
      <c r="N227" t="s">
        <v>654</v>
      </c>
      <c r="O227" t="s">
        <v>652</v>
      </c>
      <c r="P227" t="s">
        <v>645</v>
      </c>
    </row>
    <row r="228" spans="1:16" x14ac:dyDescent="0.25">
      <c r="A228" s="3" t="s">
        <v>30</v>
      </c>
      <c r="B228" s="3" t="s">
        <v>639</v>
      </c>
      <c r="C228" s="3" t="str">
        <f t="shared" si="3"/>
        <v>SZKF1_S5b</v>
      </c>
      <c r="D228" s="3" t="s">
        <v>640</v>
      </c>
      <c r="E228" s="3" t="s">
        <v>63</v>
      </c>
      <c r="F228" s="3" t="s">
        <v>641</v>
      </c>
      <c r="G228" s="3" t="s">
        <v>655</v>
      </c>
      <c r="H228" s="3" t="s">
        <v>138</v>
      </c>
      <c r="I228" t="s">
        <v>36</v>
      </c>
      <c r="J228" s="3">
        <v>32</v>
      </c>
      <c r="K228" s="3">
        <v>0</v>
      </c>
      <c r="L228" t="s">
        <v>8</v>
      </c>
      <c r="M228" t="s">
        <v>37</v>
      </c>
      <c r="N228" t="s">
        <v>654</v>
      </c>
      <c r="O228" t="s">
        <v>652</v>
      </c>
      <c r="P228" t="s">
        <v>647</v>
      </c>
    </row>
    <row r="229" spans="1:16" x14ac:dyDescent="0.25">
      <c r="A229" s="3" t="s">
        <v>30</v>
      </c>
      <c r="B229" s="3" t="s">
        <v>639</v>
      </c>
      <c r="C229" s="3" t="str">
        <f t="shared" si="3"/>
        <v>SZKF1_S6</v>
      </c>
      <c r="D229" s="3" t="s">
        <v>640</v>
      </c>
      <c r="E229" s="3">
        <v>6</v>
      </c>
      <c r="F229" s="3" t="s">
        <v>641</v>
      </c>
      <c r="G229" s="3" t="s">
        <v>656</v>
      </c>
      <c r="H229" s="3" t="s">
        <v>138</v>
      </c>
      <c r="I229" t="s">
        <v>36</v>
      </c>
      <c r="J229" s="3">
        <v>32</v>
      </c>
      <c r="K229" s="3">
        <v>200</v>
      </c>
      <c r="L229" t="s">
        <v>8</v>
      </c>
      <c r="M229" t="s">
        <v>37</v>
      </c>
      <c r="N229" t="s">
        <v>657</v>
      </c>
      <c r="O229" t="s">
        <v>652</v>
      </c>
      <c r="P229" t="s">
        <v>37</v>
      </c>
    </row>
    <row r="230" spans="1:16" x14ac:dyDescent="0.25">
      <c r="A230" s="3" t="s">
        <v>30</v>
      </c>
      <c r="B230" s="3" t="s">
        <v>639</v>
      </c>
      <c r="C230" s="3" t="str">
        <f t="shared" si="3"/>
        <v>SZKF1_S7</v>
      </c>
      <c r="D230" s="3" t="s">
        <v>640</v>
      </c>
      <c r="E230" s="3">
        <v>7</v>
      </c>
      <c r="F230" s="3" t="s">
        <v>641</v>
      </c>
      <c r="G230" s="3" t="s">
        <v>658</v>
      </c>
      <c r="H230" s="3" t="s">
        <v>138</v>
      </c>
      <c r="I230" t="s">
        <v>36</v>
      </c>
      <c r="J230" s="3">
        <v>32</v>
      </c>
      <c r="K230" s="3">
        <v>300</v>
      </c>
      <c r="L230" t="s">
        <v>8</v>
      </c>
      <c r="M230" t="s">
        <v>37</v>
      </c>
      <c r="N230" t="s">
        <v>659</v>
      </c>
      <c r="O230" t="s">
        <v>37</v>
      </c>
      <c r="P230" t="s">
        <v>37</v>
      </c>
    </row>
    <row r="231" spans="1:16" x14ac:dyDescent="0.25">
      <c r="A231" s="3" t="s">
        <v>30</v>
      </c>
      <c r="B231" s="3" t="s">
        <v>639</v>
      </c>
      <c r="C231" s="3" t="str">
        <f t="shared" si="3"/>
        <v>SZKF1_S8</v>
      </c>
      <c r="D231" s="3" t="s">
        <v>640</v>
      </c>
      <c r="E231" s="3">
        <v>8</v>
      </c>
      <c r="F231" s="3" t="s">
        <v>641</v>
      </c>
      <c r="G231" s="3" t="s">
        <v>49</v>
      </c>
      <c r="H231" s="3" t="s">
        <v>138</v>
      </c>
      <c r="I231" t="s">
        <v>36</v>
      </c>
      <c r="J231" s="3">
        <v>32</v>
      </c>
      <c r="K231" s="3">
        <v>400</v>
      </c>
      <c r="L231" t="s">
        <v>8</v>
      </c>
      <c r="M231" t="s">
        <v>37</v>
      </c>
      <c r="N231" t="s">
        <v>660</v>
      </c>
      <c r="O231" t="s">
        <v>37</v>
      </c>
      <c r="P231" t="s">
        <v>37</v>
      </c>
    </row>
    <row r="232" spans="1:16" x14ac:dyDescent="0.25">
      <c r="A232" s="3" t="s">
        <v>30</v>
      </c>
      <c r="B232" s="3" t="s">
        <v>639</v>
      </c>
      <c r="C232" s="3" t="str">
        <f t="shared" si="3"/>
        <v>SZKF2_S1</v>
      </c>
      <c r="D232" s="3" t="s">
        <v>661</v>
      </c>
      <c r="E232" s="3">
        <v>1</v>
      </c>
      <c r="F232" s="3" t="s">
        <v>662</v>
      </c>
      <c r="G232" s="3" t="s">
        <v>54</v>
      </c>
      <c r="H232" s="3" t="s">
        <v>138</v>
      </c>
      <c r="I232" t="s">
        <v>36</v>
      </c>
      <c r="J232" s="3">
        <v>33</v>
      </c>
      <c r="K232" s="3">
        <v>0</v>
      </c>
      <c r="L232" t="s">
        <v>8</v>
      </c>
      <c r="M232" t="s">
        <v>37</v>
      </c>
      <c r="N232" t="s">
        <v>663</v>
      </c>
      <c r="O232" t="s">
        <v>664</v>
      </c>
      <c r="P232" t="s">
        <v>37</v>
      </c>
    </row>
    <row r="233" spans="1:16" x14ac:dyDescent="0.25">
      <c r="A233" s="3" t="s">
        <v>30</v>
      </c>
      <c r="B233" s="3" t="s">
        <v>639</v>
      </c>
      <c r="C233" s="3" t="str">
        <f t="shared" si="3"/>
        <v>SZKF2_S2</v>
      </c>
      <c r="D233" s="3" t="s">
        <v>661</v>
      </c>
      <c r="E233" s="3">
        <v>2</v>
      </c>
      <c r="F233" s="3" t="s">
        <v>662</v>
      </c>
      <c r="G233" s="3" t="s">
        <v>665</v>
      </c>
      <c r="H233" s="3" t="s">
        <v>138</v>
      </c>
      <c r="I233" t="s">
        <v>36</v>
      </c>
      <c r="J233" s="3">
        <v>33</v>
      </c>
      <c r="K233" s="3">
        <v>150</v>
      </c>
      <c r="L233" t="s">
        <v>8</v>
      </c>
      <c r="M233" t="s">
        <v>37</v>
      </c>
      <c r="N233" t="s">
        <v>666</v>
      </c>
      <c r="O233" t="s">
        <v>664</v>
      </c>
      <c r="P233" t="s">
        <v>37</v>
      </c>
    </row>
    <row r="234" spans="1:16" x14ac:dyDescent="0.25">
      <c r="A234" s="3" t="s">
        <v>30</v>
      </c>
      <c r="B234" s="3" t="s">
        <v>639</v>
      </c>
      <c r="C234" s="3" t="str">
        <f t="shared" si="3"/>
        <v>SZKF2_S3</v>
      </c>
      <c r="D234" s="3" t="s">
        <v>661</v>
      </c>
      <c r="E234" s="3">
        <v>3</v>
      </c>
      <c r="F234" s="3" t="s">
        <v>662</v>
      </c>
      <c r="G234" s="3" t="s">
        <v>667</v>
      </c>
      <c r="H234" s="3" t="s">
        <v>138</v>
      </c>
      <c r="I234" t="s">
        <v>36</v>
      </c>
      <c r="J234" s="3">
        <v>33</v>
      </c>
      <c r="K234" s="3">
        <v>100</v>
      </c>
      <c r="L234" t="s">
        <v>8</v>
      </c>
      <c r="M234" t="s">
        <v>37</v>
      </c>
      <c r="N234" t="s">
        <v>668</v>
      </c>
      <c r="O234" t="s">
        <v>669</v>
      </c>
      <c r="P234" t="s">
        <v>37</v>
      </c>
    </row>
    <row r="235" spans="1:16" x14ac:dyDescent="0.25">
      <c r="A235" s="3" t="s">
        <v>30</v>
      </c>
      <c r="B235" s="3" t="s">
        <v>639</v>
      </c>
      <c r="C235" s="3" t="str">
        <f t="shared" si="3"/>
        <v>SZKF2_S4</v>
      </c>
      <c r="D235" s="3" t="s">
        <v>661</v>
      </c>
      <c r="E235" s="3">
        <v>4</v>
      </c>
      <c r="F235" s="3" t="s">
        <v>662</v>
      </c>
      <c r="G235" s="3" t="s">
        <v>670</v>
      </c>
      <c r="H235" s="3" t="s">
        <v>138</v>
      </c>
      <c r="I235" t="s">
        <v>36</v>
      </c>
      <c r="J235" s="3">
        <v>33</v>
      </c>
      <c r="K235" s="3">
        <v>100</v>
      </c>
      <c r="L235" t="s">
        <v>8</v>
      </c>
      <c r="M235" t="s">
        <v>37</v>
      </c>
      <c r="N235" t="s">
        <v>671</v>
      </c>
      <c r="O235" t="s">
        <v>669</v>
      </c>
      <c r="P235" t="s">
        <v>37</v>
      </c>
    </row>
    <row r="236" spans="1:16" x14ac:dyDescent="0.25">
      <c r="A236" s="3" t="s">
        <v>30</v>
      </c>
      <c r="B236" s="3" t="s">
        <v>639</v>
      </c>
      <c r="C236" s="3" t="str">
        <f t="shared" si="3"/>
        <v>SZKF2_S5</v>
      </c>
      <c r="D236" s="3" t="s">
        <v>661</v>
      </c>
      <c r="E236" s="3">
        <v>5</v>
      </c>
      <c r="F236" s="3" t="s">
        <v>662</v>
      </c>
      <c r="G236" s="3" t="s">
        <v>672</v>
      </c>
      <c r="H236" s="3" t="s">
        <v>138</v>
      </c>
      <c r="I236" t="s">
        <v>36</v>
      </c>
      <c r="J236" s="3">
        <v>33</v>
      </c>
      <c r="K236" s="3">
        <v>200</v>
      </c>
      <c r="L236" t="s">
        <v>8</v>
      </c>
      <c r="M236" t="s">
        <v>37</v>
      </c>
      <c r="N236" t="s">
        <v>673</v>
      </c>
      <c r="O236" t="s">
        <v>669</v>
      </c>
      <c r="P236" t="s">
        <v>37</v>
      </c>
    </row>
    <row r="237" spans="1:16" x14ac:dyDescent="0.25">
      <c r="A237" s="3" t="s">
        <v>30</v>
      </c>
      <c r="B237" s="3" t="s">
        <v>639</v>
      </c>
      <c r="C237" s="3" t="str">
        <f t="shared" si="3"/>
        <v>SZKF2_S6</v>
      </c>
      <c r="D237" s="3" t="s">
        <v>661</v>
      </c>
      <c r="E237" s="3">
        <v>6</v>
      </c>
      <c r="F237" s="3" t="s">
        <v>662</v>
      </c>
      <c r="G237" s="3" t="s">
        <v>674</v>
      </c>
      <c r="H237" s="3" t="s">
        <v>138</v>
      </c>
      <c r="I237" t="s">
        <v>36</v>
      </c>
      <c r="J237" s="3">
        <v>33</v>
      </c>
      <c r="K237" s="3">
        <v>200</v>
      </c>
      <c r="L237" t="s">
        <v>8</v>
      </c>
      <c r="M237" t="s">
        <v>37</v>
      </c>
      <c r="N237" t="s">
        <v>675</v>
      </c>
      <c r="O237" t="s">
        <v>669</v>
      </c>
      <c r="P237" t="s">
        <v>37</v>
      </c>
    </row>
    <row r="238" spans="1:16" x14ac:dyDescent="0.25">
      <c r="A238" s="3" t="s">
        <v>30</v>
      </c>
      <c r="B238" s="3" t="s">
        <v>639</v>
      </c>
      <c r="C238" s="3" t="str">
        <f t="shared" si="3"/>
        <v>SZKF2_S7</v>
      </c>
      <c r="D238" s="3" t="s">
        <v>661</v>
      </c>
      <c r="E238" s="3">
        <v>7</v>
      </c>
      <c r="F238" s="3" t="s">
        <v>662</v>
      </c>
      <c r="G238" s="3" t="s">
        <v>676</v>
      </c>
      <c r="H238" s="3" t="s">
        <v>138</v>
      </c>
      <c r="I238" t="s">
        <v>36</v>
      </c>
      <c r="J238" s="3">
        <v>33</v>
      </c>
      <c r="K238" s="3">
        <v>200</v>
      </c>
      <c r="L238" t="s">
        <v>8</v>
      </c>
      <c r="M238" t="s">
        <v>37</v>
      </c>
      <c r="N238" t="s">
        <v>677</v>
      </c>
      <c r="O238" t="s">
        <v>669</v>
      </c>
      <c r="P238" t="s">
        <v>37</v>
      </c>
    </row>
    <row r="239" spans="1:16" x14ac:dyDescent="0.25">
      <c r="A239" s="3" t="s">
        <v>30</v>
      </c>
      <c r="B239" s="3" t="s">
        <v>639</v>
      </c>
      <c r="C239" s="3" t="str">
        <f t="shared" si="3"/>
        <v>SZKF2_S8</v>
      </c>
      <c r="D239" s="3" t="s">
        <v>661</v>
      </c>
      <c r="E239" s="3">
        <v>8</v>
      </c>
      <c r="F239" s="3" t="s">
        <v>662</v>
      </c>
      <c r="G239" s="3" t="s">
        <v>678</v>
      </c>
      <c r="H239" s="3" t="s">
        <v>138</v>
      </c>
      <c r="I239" t="s">
        <v>36</v>
      </c>
      <c r="J239" s="3">
        <v>33</v>
      </c>
      <c r="K239" s="3">
        <v>200</v>
      </c>
      <c r="L239" t="s">
        <v>8</v>
      </c>
      <c r="M239" t="s">
        <v>37</v>
      </c>
      <c r="N239" t="s">
        <v>679</v>
      </c>
      <c r="O239" t="s">
        <v>669</v>
      </c>
      <c r="P239" t="s">
        <v>37</v>
      </c>
    </row>
    <row r="240" spans="1:16" x14ac:dyDescent="0.25">
      <c r="A240" s="3" t="s">
        <v>30</v>
      </c>
      <c r="B240" s="3" t="s">
        <v>639</v>
      </c>
      <c r="C240" s="3" t="str">
        <f t="shared" si="3"/>
        <v>SZKF2_S9</v>
      </c>
      <c r="D240" s="3" t="s">
        <v>661</v>
      </c>
      <c r="E240" s="3">
        <v>9</v>
      </c>
      <c r="F240" s="3" t="s">
        <v>662</v>
      </c>
      <c r="G240" s="3" t="s">
        <v>680</v>
      </c>
      <c r="H240" s="3" t="s">
        <v>138</v>
      </c>
      <c r="I240" t="s">
        <v>36</v>
      </c>
      <c r="J240" s="3">
        <v>33</v>
      </c>
      <c r="K240" s="3">
        <v>200</v>
      </c>
      <c r="L240" t="s">
        <v>8</v>
      </c>
      <c r="M240" t="s">
        <v>37</v>
      </c>
      <c r="N240" t="s">
        <v>681</v>
      </c>
      <c r="O240" t="s">
        <v>669</v>
      </c>
      <c r="P240" t="s">
        <v>37</v>
      </c>
    </row>
    <row r="241" spans="1:16" x14ac:dyDescent="0.25">
      <c r="A241" s="3" t="s">
        <v>30</v>
      </c>
      <c r="B241" s="3" t="s">
        <v>639</v>
      </c>
      <c r="C241" s="3" t="str">
        <f t="shared" si="3"/>
        <v>SZKF2_S10</v>
      </c>
      <c r="D241" s="3" t="s">
        <v>661</v>
      </c>
      <c r="E241" s="3">
        <v>10</v>
      </c>
      <c r="F241" s="3" t="s">
        <v>662</v>
      </c>
      <c r="G241" s="3" t="s">
        <v>682</v>
      </c>
      <c r="H241" s="3" t="s">
        <v>138</v>
      </c>
      <c r="I241" t="s">
        <v>36</v>
      </c>
      <c r="J241" s="3">
        <v>33</v>
      </c>
      <c r="K241" s="3">
        <v>150</v>
      </c>
      <c r="L241" t="s">
        <v>8</v>
      </c>
      <c r="M241" t="s">
        <v>37</v>
      </c>
      <c r="N241" t="s">
        <v>683</v>
      </c>
      <c r="O241" t="s">
        <v>669</v>
      </c>
      <c r="P241" t="s">
        <v>37</v>
      </c>
    </row>
    <row r="242" spans="1:16" x14ac:dyDescent="0.25">
      <c r="A242" s="3" t="s">
        <v>30</v>
      </c>
      <c r="B242" s="3" t="s">
        <v>639</v>
      </c>
      <c r="C242" s="3" t="str">
        <f t="shared" si="3"/>
        <v>SZKF2_S11</v>
      </c>
      <c r="D242" s="3" t="s">
        <v>661</v>
      </c>
      <c r="E242" s="3">
        <v>11</v>
      </c>
      <c r="F242" s="3" t="s">
        <v>662</v>
      </c>
      <c r="G242" s="3" t="s">
        <v>684</v>
      </c>
      <c r="H242" s="3" t="s">
        <v>138</v>
      </c>
      <c r="I242" t="s">
        <v>36</v>
      </c>
      <c r="J242" s="3">
        <v>33</v>
      </c>
      <c r="K242" s="3">
        <v>200</v>
      </c>
      <c r="L242" t="s">
        <v>8</v>
      </c>
      <c r="M242" t="s">
        <v>37</v>
      </c>
      <c r="N242" t="s">
        <v>685</v>
      </c>
      <c r="O242" t="s">
        <v>669</v>
      </c>
      <c r="P242" t="s">
        <v>37</v>
      </c>
    </row>
    <row r="243" spans="1:16" x14ac:dyDescent="0.25">
      <c r="A243" s="3" t="s">
        <v>30</v>
      </c>
      <c r="B243" s="3" t="s">
        <v>639</v>
      </c>
      <c r="C243" s="3" t="str">
        <f t="shared" si="3"/>
        <v>SZKF2_S12</v>
      </c>
      <c r="D243" s="3" t="s">
        <v>661</v>
      </c>
      <c r="E243" s="3">
        <v>12</v>
      </c>
      <c r="F243" s="3" t="s">
        <v>662</v>
      </c>
      <c r="G243" s="3" t="s">
        <v>686</v>
      </c>
      <c r="H243" s="3" t="s">
        <v>138</v>
      </c>
      <c r="I243" t="s">
        <v>36</v>
      </c>
      <c r="J243" s="3">
        <v>33</v>
      </c>
      <c r="K243" s="3">
        <v>150</v>
      </c>
      <c r="L243" t="s">
        <v>8</v>
      </c>
      <c r="M243" t="s">
        <v>37</v>
      </c>
      <c r="N243" t="s">
        <v>687</v>
      </c>
      <c r="O243" t="s">
        <v>669</v>
      </c>
      <c r="P243" t="s">
        <v>37</v>
      </c>
    </row>
    <row r="244" spans="1:16" x14ac:dyDescent="0.25">
      <c r="A244" s="3" t="s">
        <v>30</v>
      </c>
      <c r="B244" s="3" t="s">
        <v>639</v>
      </c>
      <c r="C244" s="3" t="str">
        <f t="shared" si="3"/>
        <v>SZKF3_S1</v>
      </c>
      <c r="D244" s="3" t="s">
        <v>688</v>
      </c>
      <c r="E244" s="3">
        <v>1</v>
      </c>
      <c r="F244" s="3" t="s">
        <v>689</v>
      </c>
      <c r="G244" s="3" t="s">
        <v>54</v>
      </c>
      <c r="H244" s="3" t="s">
        <v>138</v>
      </c>
      <c r="I244" t="s">
        <v>36</v>
      </c>
      <c r="J244" s="3">
        <v>34</v>
      </c>
      <c r="K244" s="3">
        <v>0</v>
      </c>
      <c r="L244" t="s">
        <v>8</v>
      </c>
      <c r="M244" t="s">
        <v>37</v>
      </c>
      <c r="N244" t="s">
        <v>663</v>
      </c>
      <c r="O244" t="s">
        <v>690</v>
      </c>
      <c r="P244" t="s">
        <v>37</v>
      </c>
    </row>
    <row r="245" spans="1:16" x14ac:dyDescent="0.25">
      <c r="A245" s="3" t="s">
        <v>30</v>
      </c>
      <c r="B245" s="3" t="s">
        <v>639</v>
      </c>
      <c r="C245" s="3" t="str">
        <f t="shared" si="3"/>
        <v>SZKF3_S2</v>
      </c>
      <c r="D245" s="3" t="s">
        <v>688</v>
      </c>
      <c r="E245" s="3">
        <v>2</v>
      </c>
      <c r="F245" s="3" t="s">
        <v>689</v>
      </c>
      <c r="G245" s="3" t="s">
        <v>691</v>
      </c>
      <c r="H245" s="3" t="s">
        <v>138</v>
      </c>
      <c r="I245" t="s">
        <v>36</v>
      </c>
      <c r="J245" s="3">
        <v>34</v>
      </c>
      <c r="K245" s="3">
        <v>100</v>
      </c>
      <c r="L245" t="s">
        <v>8</v>
      </c>
      <c r="M245" t="s">
        <v>37</v>
      </c>
      <c r="N245" t="s">
        <v>692</v>
      </c>
      <c r="O245" t="s">
        <v>690</v>
      </c>
      <c r="P245" t="s">
        <v>37</v>
      </c>
    </row>
    <row r="246" spans="1:16" x14ac:dyDescent="0.25">
      <c r="A246" s="3" t="s">
        <v>30</v>
      </c>
      <c r="B246" s="3" t="s">
        <v>639</v>
      </c>
      <c r="C246" s="3" t="str">
        <f t="shared" si="3"/>
        <v>SZKF3_S3</v>
      </c>
      <c r="D246" s="3" t="s">
        <v>688</v>
      </c>
      <c r="E246" s="3">
        <v>3</v>
      </c>
      <c r="F246" s="3" t="s">
        <v>689</v>
      </c>
      <c r="G246" s="3" t="s">
        <v>693</v>
      </c>
      <c r="H246" s="3" t="s">
        <v>138</v>
      </c>
      <c r="I246" t="s">
        <v>36</v>
      </c>
      <c r="J246" s="3">
        <v>34</v>
      </c>
      <c r="K246" s="3">
        <v>100</v>
      </c>
      <c r="L246" t="s">
        <v>8</v>
      </c>
      <c r="M246" t="s">
        <v>37</v>
      </c>
      <c r="N246" t="s">
        <v>694</v>
      </c>
      <c r="O246" t="s">
        <v>690</v>
      </c>
      <c r="P246" t="s">
        <v>37</v>
      </c>
    </row>
    <row r="247" spans="1:16" x14ac:dyDescent="0.25">
      <c r="A247" s="3" t="s">
        <v>30</v>
      </c>
      <c r="B247" s="3" t="s">
        <v>639</v>
      </c>
      <c r="C247" s="3" t="str">
        <f t="shared" si="3"/>
        <v>SZKF3_S4</v>
      </c>
      <c r="D247" s="3" t="s">
        <v>688</v>
      </c>
      <c r="E247" s="3">
        <v>4</v>
      </c>
      <c r="F247" s="3" t="s">
        <v>689</v>
      </c>
      <c r="G247" s="3" t="s">
        <v>695</v>
      </c>
      <c r="H247" s="3" t="s">
        <v>138</v>
      </c>
      <c r="I247" t="s">
        <v>36</v>
      </c>
      <c r="J247" s="3">
        <v>34</v>
      </c>
      <c r="K247" s="3">
        <v>100</v>
      </c>
      <c r="L247" t="s">
        <v>8</v>
      </c>
      <c r="M247" t="s">
        <v>37</v>
      </c>
      <c r="N247" t="s">
        <v>696</v>
      </c>
      <c r="O247" t="s">
        <v>690</v>
      </c>
      <c r="P247" t="s">
        <v>37</v>
      </c>
    </row>
    <row r="248" spans="1:16" x14ac:dyDescent="0.25">
      <c r="A248" s="3" t="s">
        <v>30</v>
      </c>
      <c r="B248" s="3" t="s">
        <v>639</v>
      </c>
      <c r="C248" s="3" t="str">
        <f t="shared" si="3"/>
        <v>SZKF3_S5</v>
      </c>
      <c r="D248" s="3" t="s">
        <v>688</v>
      </c>
      <c r="E248" s="3">
        <v>5</v>
      </c>
      <c r="F248" s="3" t="s">
        <v>689</v>
      </c>
      <c r="G248" s="3" t="s">
        <v>697</v>
      </c>
      <c r="H248" s="3" t="s">
        <v>138</v>
      </c>
      <c r="I248" t="s">
        <v>36</v>
      </c>
      <c r="J248" s="3">
        <v>34</v>
      </c>
      <c r="K248" s="3">
        <v>100</v>
      </c>
      <c r="L248" t="s">
        <v>8</v>
      </c>
      <c r="M248" t="s">
        <v>37</v>
      </c>
      <c r="N248" t="s">
        <v>698</v>
      </c>
      <c r="O248" t="s">
        <v>690</v>
      </c>
      <c r="P248" t="s">
        <v>37</v>
      </c>
    </row>
    <row r="249" spans="1:16" x14ac:dyDescent="0.25">
      <c r="A249" s="3" t="s">
        <v>30</v>
      </c>
      <c r="B249" s="3" t="s">
        <v>639</v>
      </c>
      <c r="C249" s="3" t="str">
        <f t="shared" si="3"/>
        <v>SZKF3_S6</v>
      </c>
      <c r="D249" s="3" t="s">
        <v>688</v>
      </c>
      <c r="E249" s="3">
        <v>6</v>
      </c>
      <c r="F249" s="3" t="s">
        <v>689</v>
      </c>
      <c r="G249" s="3" t="s">
        <v>699</v>
      </c>
      <c r="H249" s="3" t="s">
        <v>138</v>
      </c>
      <c r="I249" t="s">
        <v>36</v>
      </c>
      <c r="J249" s="3">
        <v>34</v>
      </c>
      <c r="K249" s="3">
        <v>200</v>
      </c>
      <c r="L249" t="s">
        <v>8</v>
      </c>
      <c r="M249" t="s">
        <v>37</v>
      </c>
      <c r="N249" t="s">
        <v>700</v>
      </c>
      <c r="O249" t="s">
        <v>690</v>
      </c>
      <c r="P249" t="s">
        <v>37</v>
      </c>
    </row>
    <row r="250" spans="1:16" x14ac:dyDescent="0.25">
      <c r="A250" s="3" t="s">
        <v>30</v>
      </c>
      <c r="B250" s="3" t="s">
        <v>639</v>
      </c>
      <c r="C250" s="3" t="str">
        <f t="shared" si="3"/>
        <v>SZKF3_S7</v>
      </c>
      <c r="D250" s="3" t="s">
        <v>688</v>
      </c>
      <c r="E250" s="3">
        <v>7</v>
      </c>
      <c r="F250" s="3" t="s">
        <v>689</v>
      </c>
      <c r="G250" s="3" t="s">
        <v>701</v>
      </c>
      <c r="H250" s="3" t="s">
        <v>138</v>
      </c>
      <c r="I250" t="s">
        <v>36</v>
      </c>
      <c r="J250" s="3">
        <v>34</v>
      </c>
      <c r="K250" s="3">
        <v>100</v>
      </c>
      <c r="L250" t="s">
        <v>8</v>
      </c>
      <c r="M250" t="s">
        <v>37</v>
      </c>
      <c r="N250" t="s">
        <v>702</v>
      </c>
      <c r="O250" t="s">
        <v>37</v>
      </c>
      <c r="P250" t="s">
        <v>37</v>
      </c>
    </row>
    <row r="251" spans="1:16" x14ac:dyDescent="0.25">
      <c r="A251" s="3" t="s">
        <v>30</v>
      </c>
      <c r="B251" s="3" t="s">
        <v>639</v>
      </c>
      <c r="C251" s="3" t="str">
        <f t="shared" si="3"/>
        <v>SZKF3_S8</v>
      </c>
      <c r="D251" s="3" t="s">
        <v>688</v>
      </c>
      <c r="E251" s="3">
        <v>8</v>
      </c>
      <c r="F251" s="3" t="s">
        <v>689</v>
      </c>
      <c r="G251" s="3" t="s">
        <v>703</v>
      </c>
      <c r="H251" s="3" t="s">
        <v>138</v>
      </c>
      <c r="I251" t="s">
        <v>36</v>
      </c>
      <c r="J251" s="3">
        <v>34</v>
      </c>
      <c r="K251" s="3">
        <v>100</v>
      </c>
      <c r="L251" t="s">
        <v>8</v>
      </c>
      <c r="M251" t="s">
        <v>37</v>
      </c>
      <c r="N251" t="s">
        <v>704</v>
      </c>
      <c r="O251" t="s">
        <v>705</v>
      </c>
      <c r="P251" t="s">
        <v>37</v>
      </c>
    </row>
    <row r="252" spans="1:16" x14ac:dyDescent="0.25">
      <c r="A252" s="3" t="s">
        <v>30</v>
      </c>
      <c r="B252" s="3" t="s">
        <v>639</v>
      </c>
      <c r="C252" s="3" t="str">
        <f t="shared" si="3"/>
        <v>SZKF3_S9</v>
      </c>
      <c r="D252" s="3" t="s">
        <v>688</v>
      </c>
      <c r="E252" s="3">
        <v>9</v>
      </c>
      <c r="F252" s="3" t="s">
        <v>689</v>
      </c>
      <c r="G252" s="3" t="s">
        <v>706</v>
      </c>
      <c r="H252" s="3" t="s">
        <v>138</v>
      </c>
      <c r="I252" t="s">
        <v>36</v>
      </c>
      <c r="J252" s="3">
        <v>34</v>
      </c>
      <c r="K252" s="3">
        <v>150</v>
      </c>
      <c r="L252" t="s">
        <v>8</v>
      </c>
      <c r="M252" t="s">
        <v>37</v>
      </c>
      <c r="N252" t="s">
        <v>707</v>
      </c>
      <c r="O252" t="s">
        <v>705</v>
      </c>
      <c r="P252" t="s">
        <v>37</v>
      </c>
    </row>
    <row r="253" spans="1:16" x14ac:dyDescent="0.25">
      <c r="A253" s="3" t="s">
        <v>30</v>
      </c>
      <c r="B253" s="3" t="s">
        <v>639</v>
      </c>
      <c r="C253" s="3" t="str">
        <f t="shared" si="3"/>
        <v>SZKF3_S10</v>
      </c>
      <c r="D253" s="3" t="s">
        <v>688</v>
      </c>
      <c r="E253" s="3">
        <v>10</v>
      </c>
      <c r="F253" s="3" t="s">
        <v>689</v>
      </c>
      <c r="G253" s="3" t="s">
        <v>708</v>
      </c>
      <c r="H253" s="3" t="s">
        <v>138</v>
      </c>
      <c r="I253" t="s">
        <v>36</v>
      </c>
      <c r="J253" s="3">
        <v>34</v>
      </c>
      <c r="K253" s="3">
        <v>100</v>
      </c>
      <c r="L253" t="s">
        <v>8</v>
      </c>
      <c r="M253" t="s">
        <v>37</v>
      </c>
      <c r="N253" t="s">
        <v>709</v>
      </c>
      <c r="O253" t="s">
        <v>705</v>
      </c>
      <c r="P253" t="s">
        <v>37</v>
      </c>
    </row>
    <row r="254" spans="1:16" x14ac:dyDescent="0.25">
      <c r="A254" s="3" t="s">
        <v>30</v>
      </c>
      <c r="B254" s="3" t="s">
        <v>639</v>
      </c>
      <c r="C254" s="3" t="str">
        <f t="shared" si="3"/>
        <v>SZKF3_S11</v>
      </c>
      <c r="D254" s="3" t="s">
        <v>688</v>
      </c>
      <c r="E254" s="3">
        <v>11</v>
      </c>
      <c r="F254" s="3" t="s">
        <v>689</v>
      </c>
      <c r="G254" s="3" t="s">
        <v>710</v>
      </c>
      <c r="H254" s="3" t="s">
        <v>138</v>
      </c>
      <c r="I254" t="s">
        <v>36</v>
      </c>
      <c r="J254" s="3">
        <v>34</v>
      </c>
      <c r="K254" s="3">
        <v>150</v>
      </c>
      <c r="L254" t="s">
        <v>8</v>
      </c>
      <c r="M254" t="s">
        <v>37</v>
      </c>
      <c r="N254" t="s">
        <v>711</v>
      </c>
      <c r="O254" t="s">
        <v>705</v>
      </c>
      <c r="P254" t="s">
        <v>37</v>
      </c>
    </row>
    <row r="255" spans="1:16" x14ac:dyDescent="0.25">
      <c r="A255" s="3" t="s">
        <v>30</v>
      </c>
      <c r="B255" s="3" t="s">
        <v>639</v>
      </c>
      <c r="C255" s="3" t="str">
        <f t="shared" si="3"/>
        <v>SZKF3_S12</v>
      </c>
      <c r="D255" s="3" t="s">
        <v>688</v>
      </c>
      <c r="E255" s="3">
        <v>12</v>
      </c>
      <c r="F255" s="3" t="s">
        <v>689</v>
      </c>
      <c r="G255" s="3" t="s">
        <v>49</v>
      </c>
      <c r="H255" s="3" t="s">
        <v>138</v>
      </c>
      <c r="I255" t="s">
        <v>36</v>
      </c>
      <c r="J255" s="3">
        <v>34</v>
      </c>
      <c r="K255" s="3">
        <v>250</v>
      </c>
      <c r="L255" t="s">
        <v>8</v>
      </c>
      <c r="M255" t="s">
        <v>37</v>
      </c>
      <c r="N255" t="s">
        <v>712</v>
      </c>
      <c r="O255" t="s">
        <v>705</v>
      </c>
      <c r="P255" t="s">
        <v>37</v>
      </c>
    </row>
    <row r="256" spans="1:16" x14ac:dyDescent="0.25">
      <c r="A256" s="3" t="s">
        <v>30</v>
      </c>
      <c r="B256" s="3" t="s">
        <v>639</v>
      </c>
      <c r="C256" s="3" t="str">
        <f t="shared" si="3"/>
        <v>SZKF4_S1</v>
      </c>
      <c r="D256" s="3" t="s">
        <v>713</v>
      </c>
      <c r="E256" s="3">
        <v>1</v>
      </c>
      <c r="F256" s="3" t="s">
        <v>714</v>
      </c>
      <c r="G256" s="3" t="s">
        <v>54</v>
      </c>
      <c r="H256" s="3" t="s">
        <v>138</v>
      </c>
      <c r="I256" t="s">
        <v>36</v>
      </c>
      <c r="J256" s="3">
        <v>34</v>
      </c>
      <c r="K256" s="3">
        <v>0</v>
      </c>
      <c r="L256" t="s">
        <v>8</v>
      </c>
      <c r="M256" t="s">
        <v>37</v>
      </c>
      <c r="N256" t="s">
        <v>715</v>
      </c>
      <c r="O256" t="s">
        <v>716</v>
      </c>
      <c r="P256" t="s">
        <v>37</v>
      </c>
    </row>
    <row r="257" spans="1:16" x14ac:dyDescent="0.25">
      <c r="A257" s="3" t="s">
        <v>30</v>
      </c>
      <c r="B257" s="3" t="s">
        <v>639</v>
      </c>
      <c r="C257" s="3" t="str">
        <f t="shared" si="3"/>
        <v>SZKF4_S2</v>
      </c>
      <c r="D257" s="3" t="s">
        <v>713</v>
      </c>
      <c r="E257" s="3">
        <v>2</v>
      </c>
      <c r="F257" s="3" t="s">
        <v>714</v>
      </c>
      <c r="G257" s="3" t="s">
        <v>717</v>
      </c>
      <c r="H257" s="3" t="s">
        <v>138</v>
      </c>
      <c r="I257" t="s">
        <v>36</v>
      </c>
      <c r="J257" s="3">
        <v>34</v>
      </c>
      <c r="K257" s="3">
        <v>40</v>
      </c>
      <c r="L257" t="s">
        <v>8</v>
      </c>
      <c r="M257" t="s">
        <v>37</v>
      </c>
      <c r="N257" t="s">
        <v>718</v>
      </c>
      <c r="O257" t="s">
        <v>716</v>
      </c>
      <c r="P257" t="s">
        <v>37</v>
      </c>
    </row>
    <row r="258" spans="1:16" x14ac:dyDescent="0.25">
      <c r="A258" s="3" t="s">
        <v>30</v>
      </c>
      <c r="B258" s="3" t="s">
        <v>639</v>
      </c>
      <c r="C258" s="3" t="str">
        <f t="shared" ref="C258:C321" si="4">_xlfn.CONCAT(D258,"_S",E258)</f>
        <v>SZKF4_S3</v>
      </c>
      <c r="D258" s="3" t="s">
        <v>713</v>
      </c>
      <c r="E258" s="3">
        <v>3</v>
      </c>
      <c r="F258" s="3" t="s">
        <v>714</v>
      </c>
      <c r="G258" s="3" t="s">
        <v>49</v>
      </c>
      <c r="H258" s="3" t="s">
        <v>138</v>
      </c>
      <c r="I258" t="s">
        <v>36</v>
      </c>
      <c r="J258" s="3">
        <v>34</v>
      </c>
      <c r="K258" s="3">
        <v>150</v>
      </c>
      <c r="L258" t="s">
        <v>8</v>
      </c>
      <c r="M258" t="s">
        <v>37</v>
      </c>
      <c r="N258" t="s">
        <v>719</v>
      </c>
      <c r="O258" t="s">
        <v>716</v>
      </c>
      <c r="P258" t="s">
        <v>37</v>
      </c>
    </row>
    <row r="259" spans="1:16" x14ac:dyDescent="0.25">
      <c r="A259" s="3" t="s">
        <v>30</v>
      </c>
      <c r="B259" s="3" t="s">
        <v>639</v>
      </c>
      <c r="C259" s="3" t="str">
        <f t="shared" si="4"/>
        <v>SZKF5_S1</v>
      </c>
      <c r="D259" s="3" t="s">
        <v>720</v>
      </c>
      <c r="E259" s="3">
        <v>1</v>
      </c>
      <c r="F259" s="3" t="s">
        <v>721</v>
      </c>
      <c r="G259" s="3" t="s">
        <v>54</v>
      </c>
      <c r="H259" s="3" t="s">
        <v>138</v>
      </c>
      <c r="I259" t="s">
        <v>36</v>
      </c>
      <c r="J259" s="3">
        <v>34</v>
      </c>
      <c r="K259" s="3">
        <v>0</v>
      </c>
      <c r="L259" t="s">
        <v>8</v>
      </c>
      <c r="M259" t="s">
        <v>37</v>
      </c>
      <c r="N259" t="s">
        <v>715</v>
      </c>
      <c r="O259" t="s">
        <v>722</v>
      </c>
      <c r="P259" t="s">
        <v>37</v>
      </c>
    </row>
    <row r="260" spans="1:16" x14ac:dyDescent="0.25">
      <c r="A260" s="3" t="s">
        <v>30</v>
      </c>
      <c r="B260" s="3" t="s">
        <v>639</v>
      </c>
      <c r="C260" s="3" t="str">
        <f t="shared" si="4"/>
        <v>SZKF5_S2a</v>
      </c>
      <c r="D260" s="3" t="s">
        <v>720</v>
      </c>
      <c r="E260" s="3" t="s">
        <v>72</v>
      </c>
      <c r="F260" s="3" t="s">
        <v>721</v>
      </c>
      <c r="G260" s="3" t="s">
        <v>723</v>
      </c>
      <c r="H260" s="3" t="s">
        <v>138</v>
      </c>
      <c r="I260" t="s">
        <v>36</v>
      </c>
      <c r="J260" s="3">
        <v>34</v>
      </c>
      <c r="K260" s="3">
        <v>40</v>
      </c>
      <c r="L260" t="s">
        <v>8</v>
      </c>
      <c r="M260" t="s">
        <v>37</v>
      </c>
      <c r="N260" t="s">
        <v>724</v>
      </c>
      <c r="O260" t="s">
        <v>722</v>
      </c>
      <c r="P260" t="s">
        <v>725</v>
      </c>
    </row>
    <row r="261" spans="1:16" x14ac:dyDescent="0.25">
      <c r="A261" s="3" t="s">
        <v>30</v>
      </c>
      <c r="B261" s="3" t="s">
        <v>639</v>
      </c>
      <c r="C261" s="3" t="str">
        <f t="shared" si="4"/>
        <v>SZKF5_S2b</v>
      </c>
      <c r="D261" s="3" t="s">
        <v>720</v>
      </c>
      <c r="E261" s="3" t="s">
        <v>75</v>
      </c>
      <c r="F261" s="3" t="s">
        <v>721</v>
      </c>
      <c r="G261" s="3" t="s">
        <v>726</v>
      </c>
      <c r="H261" s="3" t="s">
        <v>138</v>
      </c>
      <c r="I261" t="s">
        <v>36</v>
      </c>
      <c r="J261" s="3">
        <v>34</v>
      </c>
      <c r="K261" s="3">
        <v>50</v>
      </c>
      <c r="L261" t="s">
        <v>8</v>
      </c>
      <c r="M261" t="s">
        <v>37</v>
      </c>
      <c r="N261" t="s">
        <v>724</v>
      </c>
      <c r="O261" t="s">
        <v>722</v>
      </c>
      <c r="P261" t="s">
        <v>727</v>
      </c>
    </row>
    <row r="262" spans="1:16" x14ac:dyDescent="0.25">
      <c r="A262" s="3" t="s">
        <v>30</v>
      </c>
      <c r="B262" s="3" t="s">
        <v>639</v>
      </c>
      <c r="C262" s="3" t="str">
        <f t="shared" si="4"/>
        <v>SZKF5_S3</v>
      </c>
      <c r="D262" s="3" t="s">
        <v>720</v>
      </c>
      <c r="E262" s="3">
        <v>3</v>
      </c>
      <c r="F262" s="3" t="s">
        <v>721</v>
      </c>
      <c r="G262" s="3" t="s">
        <v>49</v>
      </c>
      <c r="H262" s="3" t="s">
        <v>138</v>
      </c>
      <c r="I262" t="s">
        <v>36</v>
      </c>
      <c r="J262" s="3">
        <v>34</v>
      </c>
      <c r="K262" s="3">
        <v>150</v>
      </c>
      <c r="L262" t="s">
        <v>8</v>
      </c>
      <c r="M262" t="s">
        <v>37</v>
      </c>
      <c r="N262" t="s">
        <v>728</v>
      </c>
      <c r="O262" t="s">
        <v>722</v>
      </c>
      <c r="P262" t="s">
        <v>37</v>
      </c>
    </row>
    <row r="263" spans="1:16" x14ac:dyDescent="0.25">
      <c r="A263" s="3" t="s">
        <v>30</v>
      </c>
      <c r="B263" s="3" t="s">
        <v>639</v>
      </c>
      <c r="C263" s="3" t="str">
        <f t="shared" si="4"/>
        <v>SZKF6_S1</v>
      </c>
      <c r="D263" s="3" t="s">
        <v>729</v>
      </c>
      <c r="E263" s="3">
        <v>1</v>
      </c>
      <c r="F263" s="3" t="s">
        <v>730</v>
      </c>
      <c r="G263" s="3" t="s">
        <v>54</v>
      </c>
      <c r="H263" s="3" t="s">
        <v>138</v>
      </c>
      <c r="I263" t="s">
        <v>36</v>
      </c>
      <c r="J263" s="3">
        <v>34</v>
      </c>
      <c r="K263" s="3">
        <v>0</v>
      </c>
      <c r="L263" t="s">
        <v>8</v>
      </c>
      <c r="M263" t="s">
        <v>37</v>
      </c>
      <c r="N263" t="s">
        <v>715</v>
      </c>
      <c r="O263" t="s">
        <v>731</v>
      </c>
      <c r="P263" t="s">
        <v>37</v>
      </c>
    </row>
    <row r="264" spans="1:16" x14ac:dyDescent="0.25">
      <c r="A264" s="3" t="s">
        <v>30</v>
      </c>
      <c r="B264" s="3" t="s">
        <v>639</v>
      </c>
      <c r="C264" s="3" t="str">
        <f t="shared" si="4"/>
        <v>SZKF6_S2</v>
      </c>
      <c r="D264" s="3" t="s">
        <v>729</v>
      </c>
      <c r="E264" s="3">
        <v>2</v>
      </c>
      <c r="F264" s="3" t="s">
        <v>730</v>
      </c>
      <c r="G264" s="3" t="s">
        <v>732</v>
      </c>
      <c r="H264" s="3" t="s">
        <v>138</v>
      </c>
      <c r="I264" t="s">
        <v>36</v>
      </c>
      <c r="J264" s="3">
        <v>34</v>
      </c>
      <c r="K264" s="3">
        <v>150</v>
      </c>
      <c r="L264" t="s">
        <v>8</v>
      </c>
      <c r="M264" t="s">
        <v>37</v>
      </c>
      <c r="N264" t="s">
        <v>733</v>
      </c>
      <c r="O264" t="s">
        <v>731</v>
      </c>
      <c r="P264" t="s">
        <v>37</v>
      </c>
    </row>
    <row r="265" spans="1:16" x14ac:dyDescent="0.25">
      <c r="A265" s="3" t="s">
        <v>30</v>
      </c>
      <c r="B265" s="3" t="s">
        <v>639</v>
      </c>
      <c r="C265" s="3" t="str">
        <f t="shared" si="4"/>
        <v>SZKF6_S3</v>
      </c>
      <c r="D265" s="3" t="s">
        <v>729</v>
      </c>
      <c r="E265" s="3">
        <v>3</v>
      </c>
      <c r="F265" s="3" t="s">
        <v>730</v>
      </c>
      <c r="G265" s="3" t="s">
        <v>734</v>
      </c>
      <c r="H265" s="3" t="s">
        <v>138</v>
      </c>
      <c r="I265" t="s">
        <v>36</v>
      </c>
      <c r="J265" s="3">
        <v>35</v>
      </c>
      <c r="K265" s="3">
        <v>150</v>
      </c>
      <c r="L265" t="s">
        <v>8</v>
      </c>
      <c r="M265" t="s">
        <v>37</v>
      </c>
      <c r="N265" t="s">
        <v>735</v>
      </c>
      <c r="O265" t="s">
        <v>37</v>
      </c>
      <c r="P265" t="s">
        <v>37</v>
      </c>
    </row>
    <row r="266" spans="1:16" x14ac:dyDescent="0.25">
      <c r="A266" s="3" t="s">
        <v>30</v>
      </c>
      <c r="B266" s="3" t="s">
        <v>639</v>
      </c>
      <c r="C266" s="3" t="str">
        <f t="shared" si="4"/>
        <v>SZKF7_S1</v>
      </c>
      <c r="D266" s="3" t="s">
        <v>736</v>
      </c>
      <c r="E266" s="3">
        <v>1</v>
      </c>
      <c r="F266" s="3" t="s">
        <v>737</v>
      </c>
      <c r="G266" s="3" t="s">
        <v>54</v>
      </c>
      <c r="H266" s="3" t="s">
        <v>138</v>
      </c>
      <c r="I266" t="s">
        <v>36</v>
      </c>
      <c r="J266" s="3">
        <v>35</v>
      </c>
      <c r="K266" s="3">
        <v>0</v>
      </c>
      <c r="L266" t="s">
        <v>8</v>
      </c>
      <c r="M266" t="s">
        <v>37</v>
      </c>
      <c r="N266" t="s">
        <v>738</v>
      </c>
      <c r="O266" t="s">
        <v>739</v>
      </c>
      <c r="P266" t="s">
        <v>37</v>
      </c>
    </row>
    <row r="267" spans="1:16" x14ac:dyDescent="0.25">
      <c r="A267" s="3" t="s">
        <v>30</v>
      </c>
      <c r="B267" s="3" t="s">
        <v>639</v>
      </c>
      <c r="C267" s="3" t="str">
        <f t="shared" si="4"/>
        <v>SZKF7_S2</v>
      </c>
      <c r="D267" s="3" t="s">
        <v>736</v>
      </c>
      <c r="E267" s="3">
        <v>2</v>
      </c>
      <c r="F267" s="3" t="s">
        <v>737</v>
      </c>
      <c r="G267" s="3" t="s">
        <v>740</v>
      </c>
      <c r="H267" s="3" t="s">
        <v>138</v>
      </c>
      <c r="I267" t="s">
        <v>36</v>
      </c>
      <c r="J267" s="3">
        <v>35</v>
      </c>
      <c r="K267" s="3">
        <v>200</v>
      </c>
      <c r="L267" t="s">
        <v>8</v>
      </c>
      <c r="M267" t="s">
        <v>37</v>
      </c>
      <c r="N267" t="s">
        <v>741</v>
      </c>
      <c r="O267" t="s">
        <v>739</v>
      </c>
      <c r="P267" t="s">
        <v>37</v>
      </c>
    </row>
    <row r="268" spans="1:16" x14ac:dyDescent="0.25">
      <c r="A268" s="3" t="s">
        <v>30</v>
      </c>
      <c r="B268" s="3" t="s">
        <v>639</v>
      </c>
      <c r="C268" s="3" t="str">
        <f t="shared" si="4"/>
        <v>SZKF7_S3</v>
      </c>
      <c r="D268" s="3" t="s">
        <v>736</v>
      </c>
      <c r="E268" s="3">
        <v>3</v>
      </c>
      <c r="F268" s="3" t="s">
        <v>737</v>
      </c>
      <c r="G268" s="3" t="s">
        <v>742</v>
      </c>
      <c r="H268" s="3" t="s">
        <v>138</v>
      </c>
      <c r="I268" t="s">
        <v>36</v>
      </c>
      <c r="J268" s="3">
        <v>35</v>
      </c>
      <c r="K268" s="3">
        <v>200</v>
      </c>
      <c r="L268" t="s">
        <v>8</v>
      </c>
      <c r="M268" t="s">
        <v>37</v>
      </c>
      <c r="N268" t="s">
        <v>743</v>
      </c>
      <c r="O268" t="s">
        <v>739</v>
      </c>
      <c r="P268" t="s">
        <v>37</v>
      </c>
    </row>
    <row r="269" spans="1:16" x14ac:dyDescent="0.25">
      <c r="A269" s="3" t="s">
        <v>30</v>
      </c>
      <c r="B269" s="3" t="s">
        <v>639</v>
      </c>
      <c r="C269" s="3" t="str">
        <f t="shared" si="4"/>
        <v>SZKF7_S4</v>
      </c>
      <c r="D269" s="3" t="s">
        <v>736</v>
      </c>
      <c r="E269" s="3">
        <v>4</v>
      </c>
      <c r="F269" s="3" t="s">
        <v>737</v>
      </c>
      <c r="G269" s="3" t="s">
        <v>744</v>
      </c>
      <c r="H269" s="3" t="s">
        <v>138</v>
      </c>
      <c r="I269" t="s">
        <v>36</v>
      </c>
      <c r="J269" s="3">
        <v>35</v>
      </c>
      <c r="K269" s="3">
        <v>100</v>
      </c>
      <c r="L269" t="s">
        <v>8</v>
      </c>
      <c r="M269" t="s">
        <v>37</v>
      </c>
      <c r="N269" t="s">
        <v>745</v>
      </c>
      <c r="O269" t="s">
        <v>739</v>
      </c>
      <c r="P269" t="s">
        <v>37</v>
      </c>
    </row>
    <row r="270" spans="1:16" x14ac:dyDescent="0.25">
      <c r="A270" s="3" t="s">
        <v>30</v>
      </c>
      <c r="B270" s="3" t="s">
        <v>639</v>
      </c>
      <c r="C270" s="3" t="str">
        <f t="shared" si="4"/>
        <v>SZKF7_S5</v>
      </c>
      <c r="D270" s="3" t="s">
        <v>736</v>
      </c>
      <c r="E270" s="3">
        <v>5</v>
      </c>
      <c r="F270" s="3" t="s">
        <v>737</v>
      </c>
      <c r="G270" s="3" t="s">
        <v>746</v>
      </c>
      <c r="H270" s="3" t="s">
        <v>138</v>
      </c>
      <c r="I270" t="s">
        <v>36</v>
      </c>
      <c r="J270" s="3">
        <v>35</v>
      </c>
      <c r="K270" s="3">
        <v>800</v>
      </c>
      <c r="L270" t="s">
        <v>8</v>
      </c>
      <c r="M270" t="s">
        <v>37</v>
      </c>
      <c r="N270" t="s">
        <v>747</v>
      </c>
      <c r="O270" t="s">
        <v>739</v>
      </c>
      <c r="P270" t="s">
        <v>37</v>
      </c>
    </row>
    <row r="271" spans="1:16" x14ac:dyDescent="0.25">
      <c r="A271" s="3" t="s">
        <v>30</v>
      </c>
      <c r="B271" s="3" t="s">
        <v>639</v>
      </c>
      <c r="C271" s="3" t="str">
        <f t="shared" si="4"/>
        <v>SZKF7_S6</v>
      </c>
      <c r="D271" s="3" t="s">
        <v>736</v>
      </c>
      <c r="E271" s="3">
        <v>6</v>
      </c>
      <c r="F271" s="3" t="s">
        <v>737</v>
      </c>
      <c r="G271" s="3" t="s">
        <v>748</v>
      </c>
      <c r="H271" s="3" t="s">
        <v>138</v>
      </c>
      <c r="I271" t="s">
        <v>36</v>
      </c>
      <c r="J271" s="3">
        <v>35</v>
      </c>
      <c r="K271" s="3">
        <v>200</v>
      </c>
      <c r="L271" t="s">
        <v>8</v>
      </c>
      <c r="M271" t="s">
        <v>37</v>
      </c>
      <c r="N271" t="s">
        <v>749</v>
      </c>
      <c r="O271" t="s">
        <v>739</v>
      </c>
      <c r="P271" t="s">
        <v>37</v>
      </c>
    </row>
    <row r="272" spans="1:16" x14ac:dyDescent="0.25">
      <c r="A272" s="3" t="s">
        <v>30</v>
      </c>
      <c r="B272" s="3" t="s">
        <v>639</v>
      </c>
      <c r="C272" s="3" t="str">
        <f t="shared" si="4"/>
        <v>SZKF7_S7</v>
      </c>
      <c r="D272" s="3" t="s">
        <v>736</v>
      </c>
      <c r="E272" s="3">
        <v>7</v>
      </c>
      <c r="F272" s="3" t="s">
        <v>737</v>
      </c>
      <c r="G272" s="3" t="s">
        <v>750</v>
      </c>
      <c r="H272" s="3" t="s">
        <v>138</v>
      </c>
      <c r="I272" t="s">
        <v>36</v>
      </c>
      <c r="J272" s="3">
        <v>35</v>
      </c>
      <c r="K272" s="3">
        <v>300</v>
      </c>
      <c r="L272" t="s">
        <v>8</v>
      </c>
      <c r="M272" t="s">
        <v>37</v>
      </c>
      <c r="N272" t="s">
        <v>751</v>
      </c>
      <c r="O272" t="s">
        <v>739</v>
      </c>
      <c r="P272" t="s">
        <v>37</v>
      </c>
    </row>
    <row r="273" spans="1:16" x14ac:dyDescent="0.25">
      <c r="A273" s="3" t="s">
        <v>30</v>
      </c>
      <c r="B273" s="3" t="s">
        <v>639</v>
      </c>
      <c r="C273" s="3" t="str">
        <f t="shared" si="4"/>
        <v>SZKF7_S8</v>
      </c>
      <c r="D273" s="3" t="s">
        <v>736</v>
      </c>
      <c r="E273" s="3">
        <v>8</v>
      </c>
      <c r="F273" s="3" t="s">
        <v>737</v>
      </c>
      <c r="G273" s="3" t="s">
        <v>233</v>
      </c>
      <c r="H273" s="3" t="s">
        <v>138</v>
      </c>
      <c r="I273" t="s">
        <v>36</v>
      </c>
      <c r="J273" s="3">
        <v>35</v>
      </c>
      <c r="K273" s="3">
        <v>500</v>
      </c>
      <c r="L273" t="s">
        <v>8</v>
      </c>
      <c r="M273" t="s">
        <v>37</v>
      </c>
      <c r="N273" t="s">
        <v>752</v>
      </c>
      <c r="O273" t="s">
        <v>739</v>
      </c>
      <c r="P273" t="s">
        <v>37</v>
      </c>
    </row>
    <row r="274" spans="1:16" x14ac:dyDescent="0.25">
      <c r="A274" s="3" t="s">
        <v>30</v>
      </c>
      <c r="B274" s="3" t="s">
        <v>639</v>
      </c>
      <c r="C274" s="3" t="str">
        <f t="shared" si="4"/>
        <v>SZKF8_S1</v>
      </c>
      <c r="D274" s="3" t="s">
        <v>753</v>
      </c>
      <c r="E274" s="3">
        <v>1</v>
      </c>
      <c r="F274" s="3" t="s">
        <v>754</v>
      </c>
      <c r="G274" s="3" t="s">
        <v>54</v>
      </c>
      <c r="H274" s="3" t="s">
        <v>138</v>
      </c>
      <c r="I274" t="s">
        <v>36</v>
      </c>
      <c r="J274" s="3">
        <v>36</v>
      </c>
      <c r="K274" s="3">
        <v>0</v>
      </c>
      <c r="L274" t="s">
        <v>8</v>
      </c>
      <c r="M274" t="s">
        <v>37</v>
      </c>
      <c r="N274" t="s">
        <v>755</v>
      </c>
      <c r="O274" t="s">
        <v>756</v>
      </c>
      <c r="P274" t="s">
        <v>37</v>
      </c>
    </row>
    <row r="275" spans="1:16" x14ac:dyDescent="0.25">
      <c r="A275" s="3" t="s">
        <v>30</v>
      </c>
      <c r="B275" s="3" t="s">
        <v>639</v>
      </c>
      <c r="C275" s="3" t="str">
        <f t="shared" si="4"/>
        <v>SZKF8_S2a</v>
      </c>
      <c r="D275" s="3" t="s">
        <v>753</v>
      </c>
      <c r="E275" s="3" t="s">
        <v>72</v>
      </c>
      <c r="F275" s="3" t="s">
        <v>754</v>
      </c>
      <c r="G275" s="3" t="s">
        <v>757</v>
      </c>
      <c r="H275" s="3" t="s">
        <v>138</v>
      </c>
      <c r="I275" t="s">
        <v>36</v>
      </c>
      <c r="J275" s="3">
        <v>36</v>
      </c>
      <c r="K275" s="3">
        <v>150</v>
      </c>
      <c r="L275" t="s">
        <v>8</v>
      </c>
      <c r="M275" t="s">
        <v>37</v>
      </c>
      <c r="N275" t="s">
        <v>758</v>
      </c>
      <c r="O275" t="s">
        <v>756</v>
      </c>
      <c r="P275" t="s">
        <v>759</v>
      </c>
    </row>
    <row r="276" spans="1:16" x14ac:dyDescent="0.25">
      <c r="A276" s="3" t="s">
        <v>30</v>
      </c>
      <c r="B276" s="3" t="s">
        <v>639</v>
      </c>
      <c r="C276" s="3" t="str">
        <f t="shared" si="4"/>
        <v>SZKF8_S2b</v>
      </c>
      <c r="D276" s="3" t="s">
        <v>753</v>
      </c>
      <c r="E276" s="3" t="s">
        <v>75</v>
      </c>
      <c r="F276" s="3" t="s">
        <v>754</v>
      </c>
      <c r="G276" s="3" t="s">
        <v>760</v>
      </c>
      <c r="H276" s="3" t="s">
        <v>138</v>
      </c>
      <c r="I276" t="s">
        <v>36</v>
      </c>
      <c r="J276" s="3">
        <v>36</v>
      </c>
      <c r="K276" s="3">
        <v>200</v>
      </c>
      <c r="L276" t="s">
        <v>8</v>
      </c>
      <c r="M276" t="s">
        <v>37</v>
      </c>
      <c r="N276" t="s">
        <v>758</v>
      </c>
      <c r="O276" t="s">
        <v>756</v>
      </c>
      <c r="P276" t="s">
        <v>761</v>
      </c>
    </row>
    <row r="277" spans="1:16" x14ac:dyDescent="0.25">
      <c r="A277" s="3" t="s">
        <v>30</v>
      </c>
      <c r="B277" s="3" t="s">
        <v>639</v>
      </c>
      <c r="C277" s="3" t="str">
        <f t="shared" si="4"/>
        <v>SZKF8_S3aa</v>
      </c>
      <c r="D277" s="3" t="s">
        <v>753</v>
      </c>
      <c r="E277" s="3" t="s">
        <v>762</v>
      </c>
      <c r="F277" s="3" t="s">
        <v>754</v>
      </c>
      <c r="G277" s="3" t="s">
        <v>763</v>
      </c>
      <c r="H277" s="3" t="s">
        <v>138</v>
      </c>
      <c r="I277" t="s">
        <v>36</v>
      </c>
      <c r="J277" s="3">
        <v>36</v>
      </c>
      <c r="K277" s="3">
        <v>300</v>
      </c>
      <c r="L277" t="s">
        <v>8</v>
      </c>
      <c r="M277" t="s">
        <v>37</v>
      </c>
      <c r="N277" t="s">
        <v>758</v>
      </c>
      <c r="O277" t="s">
        <v>756</v>
      </c>
      <c r="P277" t="s">
        <v>759</v>
      </c>
    </row>
    <row r="278" spans="1:16" x14ac:dyDescent="0.25">
      <c r="A278" s="3" t="s">
        <v>30</v>
      </c>
      <c r="B278" s="3" t="s">
        <v>639</v>
      </c>
      <c r="C278" s="3" t="str">
        <f t="shared" si="4"/>
        <v>SZKF8_S3ab</v>
      </c>
      <c r="D278" s="3" t="s">
        <v>753</v>
      </c>
      <c r="E278" s="3" t="s">
        <v>764</v>
      </c>
      <c r="F278" s="3" t="s">
        <v>754</v>
      </c>
      <c r="G278" s="3" t="s">
        <v>763</v>
      </c>
      <c r="H278" s="3" t="s">
        <v>138</v>
      </c>
      <c r="I278" t="s">
        <v>36</v>
      </c>
      <c r="J278" s="3">
        <v>36</v>
      </c>
      <c r="K278" s="3">
        <v>300</v>
      </c>
      <c r="L278" t="s">
        <v>8</v>
      </c>
      <c r="M278" t="s">
        <v>37</v>
      </c>
      <c r="N278" t="s">
        <v>758</v>
      </c>
      <c r="O278" t="s">
        <v>756</v>
      </c>
      <c r="P278" t="s">
        <v>759</v>
      </c>
    </row>
    <row r="279" spans="1:16" x14ac:dyDescent="0.25">
      <c r="A279" s="3" t="s">
        <v>266</v>
      </c>
      <c r="B279" s="3" t="s">
        <v>639</v>
      </c>
      <c r="C279" s="3" t="str">
        <f t="shared" si="4"/>
        <v>SZKZP1_S1</v>
      </c>
      <c r="D279" s="3" t="s">
        <v>765</v>
      </c>
      <c r="E279" s="3">
        <v>1</v>
      </c>
      <c r="F279" s="3" t="s">
        <v>766</v>
      </c>
      <c r="G279" s="3" t="s">
        <v>54</v>
      </c>
      <c r="H279" s="3" t="s">
        <v>138</v>
      </c>
      <c r="I279" t="s">
        <v>36</v>
      </c>
      <c r="J279" s="3">
        <v>32</v>
      </c>
      <c r="K279" s="3">
        <v>0</v>
      </c>
      <c r="L279" t="s">
        <v>8</v>
      </c>
      <c r="M279" t="s">
        <v>37</v>
      </c>
      <c r="N279" t="s">
        <v>127</v>
      </c>
      <c r="O279" t="s">
        <v>767</v>
      </c>
      <c r="P279" t="s">
        <v>37</v>
      </c>
    </row>
    <row r="280" spans="1:16" x14ac:dyDescent="0.25">
      <c r="A280" s="3" t="s">
        <v>266</v>
      </c>
      <c r="B280" s="3" t="s">
        <v>639</v>
      </c>
      <c r="C280" s="3" t="str">
        <f t="shared" si="4"/>
        <v>SZKZP1_S2a</v>
      </c>
      <c r="D280" s="3" t="s">
        <v>765</v>
      </c>
      <c r="E280" s="3" t="s">
        <v>72</v>
      </c>
      <c r="F280" s="3" t="s">
        <v>766</v>
      </c>
      <c r="G280" s="3" t="s">
        <v>768</v>
      </c>
      <c r="H280" s="3" t="s">
        <v>138</v>
      </c>
      <c r="I280" t="s">
        <v>36</v>
      </c>
      <c r="J280" s="3">
        <v>32</v>
      </c>
      <c r="K280" s="3">
        <v>50</v>
      </c>
      <c r="L280" t="s">
        <v>8</v>
      </c>
      <c r="M280" t="s">
        <v>37</v>
      </c>
      <c r="N280" t="s">
        <v>769</v>
      </c>
      <c r="O280" t="s">
        <v>767</v>
      </c>
      <c r="P280" t="s">
        <v>770</v>
      </c>
    </row>
    <row r="281" spans="1:16" x14ac:dyDescent="0.25">
      <c r="A281" s="3" t="s">
        <v>266</v>
      </c>
      <c r="B281" s="3" t="s">
        <v>639</v>
      </c>
      <c r="C281" s="3" t="str">
        <f t="shared" si="4"/>
        <v>SZKZP1_S2b</v>
      </c>
      <c r="D281" s="3" t="s">
        <v>765</v>
      </c>
      <c r="E281" s="3" t="s">
        <v>75</v>
      </c>
      <c r="F281" s="3" t="s">
        <v>766</v>
      </c>
      <c r="G281" s="3" t="s">
        <v>771</v>
      </c>
      <c r="H281" s="3" t="s">
        <v>138</v>
      </c>
      <c r="I281" t="s">
        <v>36</v>
      </c>
      <c r="J281" s="3">
        <v>32</v>
      </c>
      <c r="K281" s="3">
        <v>100</v>
      </c>
      <c r="L281" t="s">
        <v>8</v>
      </c>
      <c r="M281" t="s">
        <v>37</v>
      </c>
      <c r="N281" t="s">
        <v>769</v>
      </c>
      <c r="O281" t="s">
        <v>767</v>
      </c>
      <c r="P281" t="s">
        <v>772</v>
      </c>
    </row>
    <row r="282" spans="1:16" x14ac:dyDescent="0.25">
      <c r="A282" s="3" t="s">
        <v>266</v>
      </c>
      <c r="B282" s="3" t="s">
        <v>639</v>
      </c>
      <c r="C282" s="3" t="str">
        <f t="shared" si="4"/>
        <v>SZKZP2_S1</v>
      </c>
      <c r="D282" s="3" t="s">
        <v>773</v>
      </c>
      <c r="E282" s="3">
        <v>1</v>
      </c>
      <c r="F282" s="3" t="s">
        <v>774</v>
      </c>
      <c r="G282" s="3" t="s">
        <v>54</v>
      </c>
      <c r="H282" s="3" t="s">
        <v>138</v>
      </c>
      <c r="I282" t="s">
        <v>36</v>
      </c>
      <c r="J282" s="3">
        <v>32</v>
      </c>
      <c r="K282" s="3">
        <v>0</v>
      </c>
      <c r="L282" t="s">
        <v>8</v>
      </c>
      <c r="M282" t="s">
        <v>37</v>
      </c>
      <c r="N282" t="s">
        <v>127</v>
      </c>
      <c r="O282" t="s">
        <v>775</v>
      </c>
      <c r="P282" t="s">
        <v>37</v>
      </c>
    </row>
    <row r="283" spans="1:16" x14ac:dyDescent="0.25">
      <c r="A283" s="3" t="s">
        <v>266</v>
      </c>
      <c r="B283" s="3" t="s">
        <v>639</v>
      </c>
      <c r="C283" s="3" t="str">
        <f t="shared" si="4"/>
        <v>SZKZP2_S2a</v>
      </c>
      <c r="D283" s="3" t="s">
        <v>773</v>
      </c>
      <c r="E283" s="3" t="s">
        <v>72</v>
      </c>
      <c r="F283" s="3" t="s">
        <v>774</v>
      </c>
      <c r="G283" s="3" t="s">
        <v>776</v>
      </c>
      <c r="H283" s="3" t="s">
        <v>138</v>
      </c>
      <c r="I283" t="s">
        <v>36</v>
      </c>
      <c r="J283" s="3">
        <v>32</v>
      </c>
      <c r="K283" s="3">
        <v>50</v>
      </c>
      <c r="L283" t="s">
        <v>8</v>
      </c>
      <c r="M283" t="s">
        <v>37</v>
      </c>
      <c r="N283" t="s">
        <v>777</v>
      </c>
      <c r="O283" t="s">
        <v>775</v>
      </c>
      <c r="P283" t="s">
        <v>778</v>
      </c>
    </row>
    <row r="284" spans="1:16" x14ac:dyDescent="0.25">
      <c r="A284" s="3" t="s">
        <v>266</v>
      </c>
      <c r="B284" s="3" t="s">
        <v>639</v>
      </c>
      <c r="C284" s="3" t="str">
        <f t="shared" si="4"/>
        <v>SZKZP2_S2b</v>
      </c>
      <c r="D284" s="3" t="s">
        <v>773</v>
      </c>
      <c r="E284" s="3" t="s">
        <v>75</v>
      </c>
      <c r="F284" s="3" t="s">
        <v>774</v>
      </c>
      <c r="G284" s="3" t="s">
        <v>779</v>
      </c>
      <c r="H284" s="3" t="s">
        <v>138</v>
      </c>
      <c r="I284" t="s">
        <v>36</v>
      </c>
      <c r="J284" s="3">
        <v>32</v>
      </c>
      <c r="K284" s="3">
        <v>150</v>
      </c>
      <c r="L284" t="s">
        <v>8</v>
      </c>
      <c r="M284" t="s">
        <v>37</v>
      </c>
      <c r="N284" t="s">
        <v>777</v>
      </c>
      <c r="O284" t="s">
        <v>775</v>
      </c>
      <c r="P284" t="s">
        <v>780</v>
      </c>
    </row>
    <row r="285" spans="1:16" x14ac:dyDescent="0.25">
      <c r="A285" s="3" t="s">
        <v>266</v>
      </c>
      <c r="B285" s="3" t="s">
        <v>639</v>
      </c>
      <c r="C285" s="3" t="str">
        <f t="shared" si="4"/>
        <v>SZKZP3_S1</v>
      </c>
      <c r="D285" s="3" t="s">
        <v>781</v>
      </c>
      <c r="E285" s="3">
        <v>1</v>
      </c>
      <c r="F285" s="3" t="s">
        <v>782</v>
      </c>
      <c r="G285" s="3" t="s">
        <v>54</v>
      </c>
      <c r="H285" s="3" t="s">
        <v>138</v>
      </c>
      <c r="I285" t="s">
        <v>36</v>
      </c>
      <c r="J285" s="3">
        <v>32</v>
      </c>
      <c r="K285" s="3">
        <v>0</v>
      </c>
      <c r="L285" t="s">
        <v>8</v>
      </c>
      <c r="M285" t="s">
        <v>37</v>
      </c>
      <c r="N285" t="s">
        <v>127</v>
      </c>
      <c r="O285" t="s">
        <v>783</v>
      </c>
      <c r="P285" t="s">
        <v>37</v>
      </c>
    </row>
    <row r="286" spans="1:16" x14ac:dyDescent="0.25">
      <c r="A286" s="3" t="s">
        <v>266</v>
      </c>
      <c r="B286" s="3" t="s">
        <v>639</v>
      </c>
      <c r="C286" s="3" t="str">
        <f t="shared" si="4"/>
        <v>SZKZP3_S2</v>
      </c>
      <c r="D286" s="3" t="s">
        <v>781</v>
      </c>
      <c r="E286" s="3">
        <v>2</v>
      </c>
      <c r="F286" s="3" t="s">
        <v>782</v>
      </c>
      <c r="G286" s="3" t="s">
        <v>49</v>
      </c>
      <c r="H286" s="3" t="s">
        <v>138</v>
      </c>
      <c r="I286" t="s">
        <v>36</v>
      </c>
      <c r="J286" s="3">
        <v>32</v>
      </c>
      <c r="K286" s="3">
        <v>100</v>
      </c>
      <c r="L286" t="s">
        <v>8</v>
      </c>
      <c r="M286" t="s">
        <v>37</v>
      </c>
      <c r="N286" t="s">
        <v>784</v>
      </c>
      <c r="O286" t="s">
        <v>783</v>
      </c>
      <c r="P286" t="s">
        <v>37</v>
      </c>
    </row>
    <row r="287" spans="1:16" x14ac:dyDescent="0.25">
      <c r="A287" s="3" t="s">
        <v>266</v>
      </c>
      <c r="B287" s="3" t="s">
        <v>639</v>
      </c>
      <c r="C287" s="3" t="str">
        <f t="shared" si="4"/>
        <v>SZKZP4_S1</v>
      </c>
      <c r="D287" s="3" t="s">
        <v>785</v>
      </c>
      <c r="E287" s="3">
        <v>1</v>
      </c>
      <c r="F287" s="3" t="s">
        <v>786</v>
      </c>
      <c r="G287" s="3" t="s">
        <v>54</v>
      </c>
      <c r="H287" s="3" t="s">
        <v>138</v>
      </c>
      <c r="I287" t="s">
        <v>36</v>
      </c>
      <c r="J287" s="3">
        <v>32</v>
      </c>
      <c r="K287" s="3">
        <v>0</v>
      </c>
      <c r="L287" t="s">
        <v>8</v>
      </c>
      <c r="M287" t="s">
        <v>37</v>
      </c>
      <c r="N287" t="s">
        <v>127</v>
      </c>
      <c r="O287" t="s">
        <v>787</v>
      </c>
      <c r="P287" t="s">
        <v>37</v>
      </c>
    </row>
    <row r="288" spans="1:16" x14ac:dyDescent="0.25">
      <c r="A288" s="3" t="s">
        <v>266</v>
      </c>
      <c r="B288" s="3" t="s">
        <v>639</v>
      </c>
      <c r="C288" s="3" t="str">
        <f t="shared" si="4"/>
        <v>SZKZP4_S2</v>
      </c>
      <c r="D288" s="3" t="s">
        <v>785</v>
      </c>
      <c r="E288" s="3">
        <v>2</v>
      </c>
      <c r="F288" s="3" t="s">
        <v>786</v>
      </c>
      <c r="G288" s="3" t="s">
        <v>49</v>
      </c>
      <c r="H288" s="3" t="s">
        <v>138</v>
      </c>
      <c r="I288" t="s">
        <v>36</v>
      </c>
      <c r="J288" s="3">
        <v>32</v>
      </c>
      <c r="K288" s="3">
        <v>0</v>
      </c>
      <c r="L288" t="s">
        <v>8</v>
      </c>
      <c r="M288" t="s">
        <v>37</v>
      </c>
      <c r="N288" t="s">
        <v>788</v>
      </c>
      <c r="O288" t="s">
        <v>787</v>
      </c>
      <c r="P288" t="s">
        <v>37</v>
      </c>
    </row>
    <row r="289" spans="1:16" x14ac:dyDescent="0.25">
      <c r="A289" s="3" t="s">
        <v>266</v>
      </c>
      <c r="B289" s="3" t="s">
        <v>639</v>
      </c>
      <c r="C289" s="3" t="str">
        <f t="shared" si="4"/>
        <v>SZKZP5_S1</v>
      </c>
      <c r="D289" s="3" t="s">
        <v>789</v>
      </c>
      <c r="E289" s="3">
        <v>1</v>
      </c>
      <c r="F289" s="3" t="s">
        <v>790</v>
      </c>
      <c r="G289" s="3" t="s">
        <v>54</v>
      </c>
      <c r="H289" s="3" t="s">
        <v>138</v>
      </c>
      <c r="I289" t="s">
        <v>36</v>
      </c>
      <c r="J289" s="3">
        <v>32</v>
      </c>
      <c r="K289" s="3">
        <v>0</v>
      </c>
      <c r="L289" t="s">
        <v>8</v>
      </c>
      <c r="M289" t="s">
        <v>37</v>
      </c>
      <c r="N289" t="s">
        <v>791</v>
      </c>
      <c r="O289" t="s">
        <v>792</v>
      </c>
      <c r="P289" t="s">
        <v>37</v>
      </c>
    </row>
    <row r="290" spans="1:16" x14ac:dyDescent="0.25">
      <c r="A290" s="3" t="s">
        <v>266</v>
      </c>
      <c r="B290" s="3" t="s">
        <v>639</v>
      </c>
      <c r="C290" s="3" t="str">
        <f t="shared" si="4"/>
        <v>SZKZP5_S2</v>
      </c>
      <c r="D290" s="3" t="s">
        <v>789</v>
      </c>
      <c r="E290" s="3">
        <v>2</v>
      </c>
      <c r="F290" s="3" t="s">
        <v>790</v>
      </c>
      <c r="G290" s="3" t="s">
        <v>793</v>
      </c>
      <c r="H290" s="3" t="s">
        <v>138</v>
      </c>
      <c r="I290" t="s">
        <v>36</v>
      </c>
      <c r="J290" s="3">
        <v>32</v>
      </c>
      <c r="K290" s="3">
        <v>100</v>
      </c>
      <c r="L290" t="s">
        <v>8</v>
      </c>
      <c r="M290" t="s">
        <v>37</v>
      </c>
      <c r="N290" t="s">
        <v>794</v>
      </c>
      <c r="O290" t="s">
        <v>792</v>
      </c>
      <c r="P290" t="s">
        <v>37</v>
      </c>
    </row>
    <row r="291" spans="1:16" x14ac:dyDescent="0.25">
      <c r="A291" s="3" t="s">
        <v>266</v>
      </c>
      <c r="B291" s="3" t="s">
        <v>639</v>
      </c>
      <c r="C291" s="3" t="str">
        <f t="shared" si="4"/>
        <v>SZKZP5_S3</v>
      </c>
      <c r="D291" s="3" t="s">
        <v>789</v>
      </c>
      <c r="E291" s="3">
        <v>3</v>
      </c>
      <c r="F291" s="3" t="s">
        <v>790</v>
      </c>
      <c r="G291" s="3" t="s">
        <v>795</v>
      </c>
      <c r="H291" s="3" t="s">
        <v>138</v>
      </c>
      <c r="I291" t="s">
        <v>36</v>
      </c>
      <c r="J291" s="3">
        <v>32</v>
      </c>
      <c r="K291" s="3">
        <v>100</v>
      </c>
      <c r="L291" t="s">
        <v>8</v>
      </c>
      <c r="M291" t="s">
        <v>37</v>
      </c>
      <c r="N291" t="s">
        <v>796</v>
      </c>
      <c r="O291" t="s">
        <v>37</v>
      </c>
      <c r="P291" t="s">
        <v>37</v>
      </c>
    </row>
    <row r="292" spans="1:16" x14ac:dyDescent="0.25">
      <c r="A292" s="3" t="s">
        <v>266</v>
      </c>
      <c r="B292" s="3" t="s">
        <v>639</v>
      </c>
      <c r="C292" s="3" t="str">
        <f t="shared" si="4"/>
        <v>SZKZP5_S4</v>
      </c>
      <c r="D292" s="3" t="s">
        <v>789</v>
      </c>
      <c r="E292" s="3">
        <v>4</v>
      </c>
      <c r="F292" s="3" t="s">
        <v>790</v>
      </c>
      <c r="G292" s="3" t="s">
        <v>797</v>
      </c>
      <c r="H292" s="3" t="s">
        <v>138</v>
      </c>
      <c r="I292" t="s">
        <v>36</v>
      </c>
      <c r="J292" s="3">
        <v>32</v>
      </c>
      <c r="K292" s="3">
        <v>100</v>
      </c>
      <c r="L292" t="s">
        <v>8</v>
      </c>
      <c r="M292" t="s">
        <v>37</v>
      </c>
      <c r="N292" t="s">
        <v>798</v>
      </c>
      <c r="O292" t="s">
        <v>37</v>
      </c>
      <c r="P292" t="s">
        <v>37</v>
      </c>
    </row>
    <row r="293" spans="1:16" x14ac:dyDescent="0.25">
      <c r="A293" s="3" t="s">
        <v>266</v>
      </c>
      <c r="B293" s="3" t="s">
        <v>639</v>
      </c>
      <c r="C293" s="3" t="str">
        <f t="shared" si="4"/>
        <v>SZKZP6_S1</v>
      </c>
      <c r="D293" s="3" t="s">
        <v>799</v>
      </c>
      <c r="E293" s="3">
        <v>1</v>
      </c>
      <c r="F293" s="3" t="s">
        <v>800</v>
      </c>
      <c r="G293" s="3" t="s">
        <v>54</v>
      </c>
      <c r="H293" s="3" t="s">
        <v>138</v>
      </c>
      <c r="I293" t="s">
        <v>36</v>
      </c>
      <c r="J293" s="3">
        <v>33</v>
      </c>
      <c r="K293" s="3">
        <v>0</v>
      </c>
      <c r="L293" t="s">
        <v>8</v>
      </c>
      <c r="M293" t="s">
        <v>37</v>
      </c>
      <c r="N293" t="s">
        <v>651</v>
      </c>
      <c r="O293" t="s">
        <v>801</v>
      </c>
      <c r="P293" t="s">
        <v>37</v>
      </c>
    </row>
    <row r="294" spans="1:16" x14ac:dyDescent="0.25">
      <c r="A294" s="3" t="s">
        <v>266</v>
      </c>
      <c r="B294" s="3" t="s">
        <v>639</v>
      </c>
      <c r="C294" s="3" t="str">
        <f t="shared" si="4"/>
        <v>SZKZP6_S2a</v>
      </c>
      <c r="D294" s="3" t="s">
        <v>799</v>
      </c>
      <c r="E294" s="3" t="s">
        <v>72</v>
      </c>
      <c r="F294" s="3" t="s">
        <v>800</v>
      </c>
      <c r="G294" s="3" t="s">
        <v>802</v>
      </c>
      <c r="H294" s="3" t="s">
        <v>138</v>
      </c>
      <c r="I294" t="s">
        <v>36</v>
      </c>
      <c r="J294" s="3">
        <v>33</v>
      </c>
      <c r="K294" s="3">
        <v>40</v>
      </c>
      <c r="L294" t="s">
        <v>8</v>
      </c>
      <c r="M294" t="s">
        <v>37</v>
      </c>
      <c r="N294" t="s">
        <v>803</v>
      </c>
      <c r="O294" t="s">
        <v>801</v>
      </c>
      <c r="P294" t="s">
        <v>804</v>
      </c>
    </row>
    <row r="295" spans="1:16" x14ac:dyDescent="0.25">
      <c r="A295" s="3" t="s">
        <v>266</v>
      </c>
      <c r="B295" s="3" t="s">
        <v>639</v>
      </c>
      <c r="C295" s="3" t="str">
        <f t="shared" si="4"/>
        <v>SZKZP6_S2b</v>
      </c>
      <c r="D295" s="3" t="s">
        <v>799</v>
      </c>
      <c r="E295" s="3" t="s">
        <v>75</v>
      </c>
      <c r="F295" s="3" t="s">
        <v>800</v>
      </c>
      <c r="G295" s="3" t="s">
        <v>805</v>
      </c>
      <c r="H295" s="3" t="s">
        <v>138</v>
      </c>
      <c r="I295" t="s">
        <v>36</v>
      </c>
      <c r="J295" s="3">
        <v>33</v>
      </c>
      <c r="K295" s="3">
        <v>100</v>
      </c>
      <c r="L295" t="s">
        <v>8</v>
      </c>
      <c r="M295" t="s">
        <v>37</v>
      </c>
      <c r="N295" t="s">
        <v>803</v>
      </c>
      <c r="O295" t="s">
        <v>801</v>
      </c>
      <c r="P295" t="s">
        <v>806</v>
      </c>
    </row>
    <row r="296" spans="1:16" x14ac:dyDescent="0.25">
      <c r="A296" s="3" t="s">
        <v>266</v>
      </c>
      <c r="B296" s="3" t="s">
        <v>639</v>
      </c>
      <c r="C296" s="3" t="str">
        <f t="shared" si="4"/>
        <v>SZKZP6_S3</v>
      </c>
      <c r="D296" s="3" t="s">
        <v>799</v>
      </c>
      <c r="E296" s="3">
        <v>3</v>
      </c>
      <c r="F296" s="3" t="s">
        <v>800</v>
      </c>
      <c r="G296" s="3" t="s">
        <v>49</v>
      </c>
      <c r="H296" s="3" t="s">
        <v>138</v>
      </c>
      <c r="I296" t="s">
        <v>36</v>
      </c>
      <c r="J296" s="3">
        <v>33</v>
      </c>
      <c r="K296" s="3">
        <v>150</v>
      </c>
      <c r="L296" t="s">
        <v>8</v>
      </c>
      <c r="M296" t="s">
        <v>37</v>
      </c>
      <c r="N296" t="s">
        <v>807</v>
      </c>
      <c r="O296" t="s">
        <v>37</v>
      </c>
      <c r="P296" t="s">
        <v>37</v>
      </c>
    </row>
    <row r="297" spans="1:16" x14ac:dyDescent="0.25">
      <c r="A297" s="3" t="s">
        <v>266</v>
      </c>
      <c r="B297" s="3" t="s">
        <v>639</v>
      </c>
      <c r="C297" s="3" t="str">
        <f t="shared" si="4"/>
        <v>SZKZP7_S1</v>
      </c>
      <c r="D297" s="3" t="s">
        <v>808</v>
      </c>
      <c r="E297" s="3">
        <v>1</v>
      </c>
      <c r="F297" s="3" t="s">
        <v>809</v>
      </c>
      <c r="G297" s="3" t="s">
        <v>54</v>
      </c>
      <c r="H297" s="3" t="s">
        <v>138</v>
      </c>
      <c r="I297" t="s">
        <v>36</v>
      </c>
      <c r="J297" s="3">
        <v>33</v>
      </c>
      <c r="K297" s="3">
        <v>0</v>
      </c>
      <c r="L297" t="s">
        <v>8</v>
      </c>
      <c r="M297" t="s">
        <v>37</v>
      </c>
      <c r="N297" t="s">
        <v>810</v>
      </c>
      <c r="O297" t="s">
        <v>811</v>
      </c>
      <c r="P297" t="s">
        <v>37</v>
      </c>
    </row>
    <row r="298" spans="1:16" x14ac:dyDescent="0.25">
      <c r="A298" s="3" t="s">
        <v>266</v>
      </c>
      <c r="B298" s="3" t="s">
        <v>639</v>
      </c>
      <c r="C298" s="3" t="str">
        <f t="shared" si="4"/>
        <v>SZKZP7_S2</v>
      </c>
      <c r="D298" s="3" t="s">
        <v>808</v>
      </c>
      <c r="E298" s="3">
        <v>2</v>
      </c>
      <c r="F298" s="3" t="s">
        <v>809</v>
      </c>
      <c r="G298" s="3" t="s">
        <v>49</v>
      </c>
      <c r="H298" s="3" t="s">
        <v>138</v>
      </c>
      <c r="I298" t="s">
        <v>36</v>
      </c>
      <c r="J298" s="3">
        <v>33</v>
      </c>
      <c r="K298" s="3">
        <v>300</v>
      </c>
      <c r="L298" t="s">
        <v>8</v>
      </c>
      <c r="M298" t="s">
        <v>37</v>
      </c>
      <c r="N298" t="s">
        <v>812</v>
      </c>
      <c r="O298" t="s">
        <v>811</v>
      </c>
      <c r="P298" t="s">
        <v>37</v>
      </c>
    </row>
    <row r="299" spans="1:16" x14ac:dyDescent="0.25">
      <c r="A299" s="3" t="s">
        <v>266</v>
      </c>
      <c r="B299" s="3" t="s">
        <v>639</v>
      </c>
      <c r="C299" s="3" t="str">
        <f t="shared" si="4"/>
        <v>SZKZP8_S1</v>
      </c>
      <c r="D299" s="3" t="s">
        <v>813</v>
      </c>
      <c r="E299" s="3">
        <v>1</v>
      </c>
      <c r="F299" s="3" t="s">
        <v>814</v>
      </c>
      <c r="G299" s="3" t="s">
        <v>54</v>
      </c>
      <c r="H299" s="3" t="s">
        <v>138</v>
      </c>
      <c r="I299" t="s">
        <v>36</v>
      </c>
      <c r="J299" s="3">
        <v>34</v>
      </c>
      <c r="K299" s="3">
        <v>0</v>
      </c>
      <c r="L299" t="s">
        <v>8</v>
      </c>
      <c r="M299" t="s">
        <v>37</v>
      </c>
      <c r="N299" t="s">
        <v>127</v>
      </c>
      <c r="O299" t="s">
        <v>815</v>
      </c>
      <c r="P299" t="s">
        <v>37</v>
      </c>
    </row>
    <row r="300" spans="1:16" x14ac:dyDescent="0.25">
      <c r="A300" s="3" t="s">
        <v>266</v>
      </c>
      <c r="B300" s="3" t="s">
        <v>639</v>
      </c>
      <c r="C300" s="3" t="str">
        <f t="shared" si="4"/>
        <v>SZKZP8_S2</v>
      </c>
      <c r="D300" s="3" t="s">
        <v>813</v>
      </c>
      <c r="E300" s="3">
        <v>2</v>
      </c>
      <c r="F300" s="3" t="s">
        <v>814</v>
      </c>
      <c r="G300" s="3" t="s">
        <v>49</v>
      </c>
      <c r="H300" s="3" t="s">
        <v>138</v>
      </c>
      <c r="I300" t="s">
        <v>36</v>
      </c>
      <c r="J300" s="3">
        <v>34</v>
      </c>
      <c r="K300" s="3">
        <v>100</v>
      </c>
      <c r="L300" t="s">
        <v>8</v>
      </c>
      <c r="M300" t="s">
        <v>37</v>
      </c>
      <c r="N300" t="s">
        <v>816</v>
      </c>
      <c r="O300" t="s">
        <v>815</v>
      </c>
      <c r="P300" t="s">
        <v>37</v>
      </c>
    </row>
  </sheetData>
  <conditionalFormatting sqref="C1:C1048576">
    <cfRule type="duplicateValues" dxfId="6" priority="2"/>
  </conditionalFormatting>
  <conditionalFormatting sqref="N205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2"/>
  <sheetViews>
    <sheetView topLeftCell="A28" zoomScale="99" zoomScaleNormal="99" workbookViewId="0">
      <selection activeCell="O162" sqref="D162:O165"/>
    </sheetView>
  </sheetViews>
  <sheetFormatPr defaultRowHeight="15" x14ac:dyDescent="0.25"/>
  <cols>
    <col min="1" max="1" width="21.7109375" bestFit="1" customWidth="1"/>
    <col min="2" max="2" width="9.5703125" bestFit="1" customWidth="1"/>
    <col min="3" max="5" width="9.5703125" customWidth="1"/>
    <col min="6" max="6" width="36.140625" bestFit="1" customWidth="1"/>
    <col min="7" max="7" width="36.140625" customWidth="1"/>
    <col min="9" max="9" width="26.42578125" bestFit="1" customWidth="1"/>
    <col min="12" max="12" width="17.5703125" bestFit="1" customWidth="1"/>
    <col min="13" max="13" width="28.140625" bestFit="1" customWidth="1"/>
    <col min="14" max="14" width="12.28515625" bestFit="1" customWidth="1"/>
    <col min="15" max="16" width="18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817</v>
      </c>
      <c r="H1" t="s">
        <v>21</v>
      </c>
      <c r="I1" t="s">
        <v>22</v>
      </c>
      <c r="J1" t="s">
        <v>23</v>
      </c>
      <c r="K1" t="s">
        <v>24</v>
      </c>
      <c r="L1" t="s">
        <v>0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25">
      <c r="A2" t="s">
        <v>30</v>
      </c>
      <c r="B2" t="s">
        <v>31</v>
      </c>
      <c r="C2" t="str">
        <f t="shared" ref="C2:C65" si="0">_xlfn.CONCAT(D2,"_S",E2)</f>
        <v>NF1_S1</v>
      </c>
      <c r="D2" t="s">
        <v>818</v>
      </c>
      <c r="E2">
        <v>1</v>
      </c>
      <c r="F2" t="s">
        <v>819</v>
      </c>
      <c r="G2" t="s">
        <v>54</v>
      </c>
      <c r="H2" t="s">
        <v>820</v>
      </c>
      <c r="I2" t="s">
        <v>36</v>
      </c>
      <c r="J2">
        <v>10</v>
      </c>
      <c r="K2">
        <v>0</v>
      </c>
      <c r="L2" t="s">
        <v>5</v>
      </c>
      <c r="M2" t="s">
        <v>37</v>
      </c>
      <c r="N2" t="s">
        <v>127</v>
      </c>
      <c r="O2" t="s">
        <v>821</v>
      </c>
      <c r="P2" t="s">
        <v>37</v>
      </c>
    </row>
    <row r="3" spans="1:16" x14ac:dyDescent="0.25">
      <c r="A3" t="s">
        <v>30</v>
      </c>
      <c r="B3" t="s">
        <v>31</v>
      </c>
      <c r="C3" t="str">
        <f t="shared" si="0"/>
        <v>NF1_S2a</v>
      </c>
      <c r="D3" t="s">
        <v>818</v>
      </c>
      <c r="E3" t="s">
        <v>72</v>
      </c>
      <c r="F3" t="s">
        <v>819</v>
      </c>
      <c r="G3" t="s">
        <v>822</v>
      </c>
      <c r="H3" t="s">
        <v>820</v>
      </c>
      <c r="I3" t="s">
        <v>36</v>
      </c>
      <c r="J3">
        <v>10</v>
      </c>
      <c r="K3">
        <v>40</v>
      </c>
      <c r="L3" t="s">
        <v>5</v>
      </c>
      <c r="M3" t="s">
        <v>37</v>
      </c>
      <c r="N3" t="s">
        <v>823</v>
      </c>
      <c r="O3" t="s">
        <v>821</v>
      </c>
      <c r="P3" t="s">
        <v>824</v>
      </c>
    </row>
    <row r="4" spans="1:16" x14ac:dyDescent="0.25">
      <c r="A4" t="s">
        <v>30</v>
      </c>
      <c r="B4" t="s">
        <v>31</v>
      </c>
      <c r="C4" t="str">
        <f t="shared" si="0"/>
        <v>NF1_S2b</v>
      </c>
      <c r="D4" t="s">
        <v>818</v>
      </c>
      <c r="E4" t="s">
        <v>75</v>
      </c>
      <c r="F4" t="s">
        <v>819</v>
      </c>
      <c r="G4" t="s">
        <v>825</v>
      </c>
      <c r="H4" t="s">
        <v>820</v>
      </c>
      <c r="I4" t="s">
        <v>36</v>
      </c>
      <c r="J4">
        <v>10</v>
      </c>
      <c r="K4">
        <v>5</v>
      </c>
      <c r="L4" t="s">
        <v>5</v>
      </c>
      <c r="M4" t="s">
        <v>37</v>
      </c>
      <c r="N4" t="s">
        <v>823</v>
      </c>
      <c r="O4" t="s">
        <v>821</v>
      </c>
      <c r="P4" t="s">
        <v>826</v>
      </c>
    </row>
    <row r="5" spans="1:16" x14ac:dyDescent="0.25">
      <c r="A5" t="s">
        <v>30</v>
      </c>
      <c r="B5" t="s">
        <v>31</v>
      </c>
      <c r="C5" t="str">
        <f t="shared" si="0"/>
        <v>NF1_S2c</v>
      </c>
      <c r="D5" t="s">
        <v>818</v>
      </c>
      <c r="E5" t="s">
        <v>78</v>
      </c>
      <c r="F5" t="s">
        <v>819</v>
      </c>
      <c r="G5" t="s">
        <v>827</v>
      </c>
      <c r="H5" t="s">
        <v>820</v>
      </c>
      <c r="I5" t="s">
        <v>36</v>
      </c>
      <c r="J5">
        <v>10</v>
      </c>
      <c r="K5">
        <v>0</v>
      </c>
      <c r="L5" t="s">
        <v>5</v>
      </c>
      <c r="M5" t="s">
        <v>37</v>
      </c>
      <c r="N5" t="s">
        <v>823</v>
      </c>
      <c r="O5" t="s">
        <v>821</v>
      </c>
      <c r="P5" t="s">
        <v>828</v>
      </c>
    </row>
    <row r="6" spans="1:16" x14ac:dyDescent="0.25">
      <c r="A6" t="s">
        <v>30</v>
      </c>
      <c r="B6" t="s">
        <v>31</v>
      </c>
      <c r="C6" t="str">
        <f t="shared" si="0"/>
        <v>NF1_S3</v>
      </c>
      <c r="D6" t="s">
        <v>818</v>
      </c>
      <c r="E6">
        <v>3</v>
      </c>
      <c r="F6" t="s">
        <v>819</v>
      </c>
      <c r="G6" t="s">
        <v>829</v>
      </c>
      <c r="H6" t="s">
        <v>820</v>
      </c>
      <c r="I6" t="s">
        <v>36</v>
      </c>
      <c r="J6">
        <v>10</v>
      </c>
      <c r="K6">
        <v>100</v>
      </c>
      <c r="L6" t="s">
        <v>5</v>
      </c>
      <c r="M6" t="s">
        <v>37</v>
      </c>
      <c r="N6" t="s">
        <v>830</v>
      </c>
      <c r="O6" t="s">
        <v>831</v>
      </c>
      <c r="P6" t="s">
        <v>37</v>
      </c>
    </row>
    <row r="7" spans="1:16" x14ac:dyDescent="0.25">
      <c r="A7" t="s">
        <v>30</v>
      </c>
      <c r="B7" t="s">
        <v>31</v>
      </c>
      <c r="C7" t="str">
        <f t="shared" si="0"/>
        <v>NF1_S4</v>
      </c>
      <c r="D7" t="s">
        <v>818</v>
      </c>
      <c r="E7">
        <v>4</v>
      </c>
      <c r="F7" t="s">
        <v>819</v>
      </c>
      <c r="G7" t="s">
        <v>49</v>
      </c>
      <c r="H7" t="s">
        <v>820</v>
      </c>
      <c r="I7" t="s">
        <v>36</v>
      </c>
      <c r="J7">
        <v>10</v>
      </c>
      <c r="K7">
        <v>200</v>
      </c>
      <c r="L7" t="s">
        <v>5</v>
      </c>
      <c r="M7" t="s">
        <v>37</v>
      </c>
      <c r="N7" t="s">
        <v>832</v>
      </c>
      <c r="O7" t="s">
        <v>831</v>
      </c>
      <c r="P7" t="s">
        <v>37</v>
      </c>
    </row>
    <row r="8" spans="1:16" x14ac:dyDescent="0.25">
      <c r="A8" t="s">
        <v>30</v>
      </c>
      <c r="B8" t="s">
        <v>31</v>
      </c>
      <c r="C8" t="str">
        <f t="shared" si="0"/>
        <v>NF2_S1</v>
      </c>
      <c r="D8" t="s">
        <v>833</v>
      </c>
      <c r="E8">
        <v>1</v>
      </c>
      <c r="F8" t="s">
        <v>834</v>
      </c>
      <c r="G8" t="s">
        <v>54</v>
      </c>
      <c r="H8" t="s">
        <v>820</v>
      </c>
      <c r="I8" t="s">
        <v>36</v>
      </c>
      <c r="J8">
        <v>7</v>
      </c>
      <c r="K8">
        <v>100</v>
      </c>
      <c r="L8" t="s">
        <v>5</v>
      </c>
      <c r="M8" t="s">
        <v>37</v>
      </c>
      <c r="N8" t="s">
        <v>835</v>
      </c>
      <c r="O8" t="s">
        <v>836</v>
      </c>
      <c r="P8" t="s">
        <v>37</v>
      </c>
    </row>
    <row r="9" spans="1:16" x14ac:dyDescent="0.25">
      <c r="A9" t="s">
        <v>30</v>
      </c>
      <c r="B9" t="s">
        <v>31</v>
      </c>
      <c r="C9" t="str">
        <f t="shared" si="0"/>
        <v>NF2_S2a</v>
      </c>
      <c r="D9" t="s">
        <v>833</v>
      </c>
      <c r="E9" t="s">
        <v>72</v>
      </c>
      <c r="F9" t="s">
        <v>834</v>
      </c>
      <c r="G9" t="s">
        <v>837</v>
      </c>
      <c r="H9" t="s">
        <v>820</v>
      </c>
      <c r="I9" t="s">
        <v>36</v>
      </c>
      <c r="J9">
        <v>7</v>
      </c>
      <c r="K9">
        <v>0</v>
      </c>
      <c r="L9" t="s">
        <v>5</v>
      </c>
      <c r="M9" t="s">
        <v>37</v>
      </c>
      <c r="N9" t="s">
        <v>838</v>
      </c>
      <c r="O9" t="s">
        <v>836</v>
      </c>
      <c r="P9" t="s">
        <v>839</v>
      </c>
    </row>
    <row r="10" spans="1:16" x14ac:dyDescent="0.25">
      <c r="A10" t="s">
        <v>30</v>
      </c>
      <c r="B10" t="s">
        <v>31</v>
      </c>
      <c r="C10" t="str">
        <f t="shared" si="0"/>
        <v>NF2_S2b</v>
      </c>
      <c r="D10" t="s">
        <v>833</v>
      </c>
      <c r="E10" t="s">
        <v>75</v>
      </c>
      <c r="F10" t="s">
        <v>834</v>
      </c>
      <c r="G10" t="s">
        <v>840</v>
      </c>
      <c r="H10" t="s">
        <v>820</v>
      </c>
      <c r="I10" t="s">
        <v>36</v>
      </c>
      <c r="J10">
        <v>7</v>
      </c>
      <c r="K10">
        <v>100</v>
      </c>
      <c r="L10" t="s">
        <v>5</v>
      </c>
      <c r="M10" t="s">
        <v>37</v>
      </c>
      <c r="N10" t="s">
        <v>838</v>
      </c>
      <c r="O10" t="s">
        <v>836</v>
      </c>
      <c r="P10" t="s">
        <v>841</v>
      </c>
    </row>
    <row r="11" spans="1:16" x14ac:dyDescent="0.25">
      <c r="A11" t="s">
        <v>30</v>
      </c>
      <c r="B11" t="s">
        <v>31</v>
      </c>
      <c r="C11" t="str">
        <f t="shared" si="0"/>
        <v>NF2_S3b</v>
      </c>
      <c r="D11" t="s">
        <v>833</v>
      </c>
      <c r="E11" t="s">
        <v>44</v>
      </c>
      <c r="F11" t="s">
        <v>834</v>
      </c>
      <c r="G11" t="s">
        <v>842</v>
      </c>
      <c r="H11" t="s">
        <v>820</v>
      </c>
      <c r="I11" t="s">
        <v>36</v>
      </c>
      <c r="J11">
        <v>7</v>
      </c>
      <c r="K11">
        <v>300</v>
      </c>
      <c r="L11" t="s">
        <v>5</v>
      </c>
      <c r="M11" t="s">
        <v>37</v>
      </c>
      <c r="N11" t="s">
        <v>843</v>
      </c>
      <c r="O11" t="s">
        <v>37</v>
      </c>
      <c r="P11" t="s">
        <v>841</v>
      </c>
    </row>
    <row r="12" spans="1:16" x14ac:dyDescent="0.25">
      <c r="A12" t="s">
        <v>30</v>
      </c>
      <c r="B12" t="s">
        <v>31</v>
      </c>
      <c r="C12" t="str">
        <f t="shared" si="0"/>
        <v>NF3_S1</v>
      </c>
      <c r="D12" t="s">
        <v>844</v>
      </c>
      <c r="E12">
        <v>1</v>
      </c>
      <c r="F12" t="s">
        <v>845</v>
      </c>
      <c r="G12" t="s">
        <v>54</v>
      </c>
      <c r="H12" t="s">
        <v>820</v>
      </c>
      <c r="I12" t="s">
        <v>36</v>
      </c>
      <c r="J12">
        <v>11</v>
      </c>
      <c r="K12">
        <v>0</v>
      </c>
      <c r="L12" t="s">
        <v>5</v>
      </c>
      <c r="M12" t="s">
        <v>37</v>
      </c>
      <c r="N12" t="s">
        <v>846</v>
      </c>
      <c r="O12" t="s">
        <v>847</v>
      </c>
      <c r="P12" t="s">
        <v>37</v>
      </c>
    </row>
    <row r="13" spans="1:16" x14ac:dyDescent="0.25">
      <c r="A13" t="s">
        <v>30</v>
      </c>
      <c r="B13" t="s">
        <v>31</v>
      </c>
      <c r="C13" t="str">
        <f t="shared" si="0"/>
        <v>NF3_S2</v>
      </c>
      <c r="D13" t="s">
        <v>844</v>
      </c>
      <c r="E13">
        <v>2</v>
      </c>
      <c r="F13" t="s">
        <v>845</v>
      </c>
      <c r="G13" t="s">
        <v>848</v>
      </c>
      <c r="H13" t="s">
        <v>820</v>
      </c>
      <c r="I13" t="s">
        <v>36</v>
      </c>
      <c r="J13">
        <v>11</v>
      </c>
      <c r="K13">
        <v>500</v>
      </c>
      <c r="L13" t="s">
        <v>5</v>
      </c>
      <c r="M13" t="s">
        <v>37</v>
      </c>
      <c r="N13" t="s">
        <v>849</v>
      </c>
      <c r="O13" t="s">
        <v>847</v>
      </c>
      <c r="P13" t="s">
        <v>37</v>
      </c>
    </row>
    <row r="14" spans="1:16" x14ac:dyDescent="0.25">
      <c r="A14" t="s">
        <v>30</v>
      </c>
      <c r="B14" t="s">
        <v>31</v>
      </c>
      <c r="C14" t="str">
        <f t="shared" si="0"/>
        <v>NF3_S3</v>
      </c>
      <c r="D14" t="s">
        <v>844</v>
      </c>
      <c r="E14">
        <v>3</v>
      </c>
      <c r="F14" t="s">
        <v>845</v>
      </c>
      <c r="G14" t="s">
        <v>850</v>
      </c>
      <c r="H14" t="s">
        <v>820</v>
      </c>
      <c r="I14" t="s">
        <v>36</v>
      </c>
      <c r="J14">
        <v>11</v>
      </c>
      <c r="K14">
        <v>300</v>
      </c>
      <c r="L14" t="s">
        <v>5</v>
      </c>
      <c r="M14" t="s">
        <v>37</v>
      </c>
      <c r="N14" t="s">
        <v>851</v>
      </c>
      <c r="O14" t="s">
        <v>37</v>
      </c>
      <c r="P14" t="s">
        <v>37</v>
      </c>
    </row>
    <row r="15" spans="1:16" x14ac:dyDescent="0.25">
      <c r="A15" t="s">
        <v>30</v>
      </c>
      <c r="B15" t="s">
        <v>31</v>
      </c>
      <c r="C15" t="str">
        <f t="shared" si="0"/>
        <v>NF3_S4</v>
      </c>
      <c r="D15" t="s">
        <v>844</v>
      </c>
      <c r="E15">
        <v>4</v>
      </c>
      <c r="F15" t="s">
        <v>845</v>
      </c>
      <c r="G15" t="s">
        <v>852</v>
      </c>
      <c r="H15" t="s">
        <v>820</v>
      </c>
      <c r="I15" t="s">
        <v>36</v>
      </c>
      <c r="J15">
        <v>11</v>
      </c>
      <c r="K15">
        <v>150</v>
      </c>
      <c r="L15" t="s">
        <v>5</v>
      </c>
      <c r="M15" t="s">
        <v>37</v>
      </c>
      <c r="N15" t="s">
        <v>853</v>
      </c>
      <c r="O15" t="s">
        <v>37</v>
      </c>
      <c r="P15" t="s">
        <v>37</v>
      </c>
    </row>
    <row r="16" spans="1:16" x14ac:dyDescent="0.25">
      <c r="A16" t="s">
        <v>30</v>
      </c>
      <c r="B16" t="s">
        <v>31</v>
      </c>
      <c r="C16" t="str">
        <f t="shared" si="0"/>
        <v>NF3_S5a</v>
      </c>
      <c r="D16" t="s">
        <v>844</v>
      </c>
      <c r="E16" t="s">
        <v>60</v>
      </c>
      <c r="F16" t="s">
        <v>845</v>
      </c>
      <c r="G16" t="s">
        <v>854</v>
      </c>
      <c r="H16" t="s">
        <v>820</v>
      </c>
      <c r="I16" t="s">
        <v>36</v>
      </c>
      <c r="J16">
        <v>11</v>
      </c>
      <c r="K16">
        <v>20</v>
      </c>
      <c r="L16" t="s">
        <v>5</v>
      </c>
      <c r="M16" t="s">
        <v>37</v>
      </c>
      <c r="N16" t="s">
        <v>855</v>
      </c>
      <c r="O16" t="s">
        <v>37</v>
      </c>
      <c r="P16" t="s">
        <v>856</v>
      </c>
    </row>
    <row r="17" spans="1:16" x14ac:dyDescent="0.25">
      <c r="A17" t="s">
        <v>30</v>
      </c>
      <c r="B17" t="s">
        <v>31</v>
      </c>
      <c r="C17" t="str">
        <f t="shared" si="0"/>
        <v>NF3_S5b</v>
      </c>
      <c r="D17" t="s">
        <v>844</v>
      </c>
      <c r="E17" t="s">
        <v>63</v>
      </c>
      <c r="F17" t="s">
        <v>845</v>
      </c>
      <c r="G17" t="s">
        <v>857</v>
      </c>
      <c r="H17" t="s">
        <v>820</v>
      </c>
      <c r="I17" t="s">
        <v>36</v>
      </c>
      <c r="J17">
        <v>11</v>
      </c>
      <c r="K17">
        <v>0</v>
      </c>
      <c r="L17" t="s">
        <v>5</v>
      </c>
      <c r="M17" t="s">
        <v>37</v>
      </c>
      <c r="N17" t="s">
        <v>855</v>
      </c>
      <c r="O17" t="s">
        <v>37</v>
      </c>
      <c r="P17" t="s">
        <v>858</v>
      </c>
    </row>
    <row r="18" spans="1:16" x14ac:dyDescent="0.25">
      <c r="A18" t="s">
        <v>30</v>
      </c>
      <c r="B18" t="s">
        <v>31</v>
      </c>
      <c r="C18" t="str">
        <f t="shared" si="0"/>
        <v>NF3_S6</v>
      </c>
      <c r="D18" t="s">
        <v>844</v>
      </c>
      <c r="E18">
        <v>6</v>
      </c>
      <c r="F18" t="s">
        <v>845</v>
      </c>
      <c r="G18" t="s">
        <v>859</v>
      </c>
      <c r="H18" t="s">
        <v>820</v>
      </c>
      <c r="I18" t="s">
        <v>36</v>
      </c>
      <c r="J18">
        <v>11</v>
      </c>
      <c r="K18">
        <v>150</v>
      </c>
      <c r="L18" t="s">
        <v>5</v>
      </c>
      <c r="M18" t="s">
        <v>37</v>
      </c>
      <c r="N18" t="s">
        <v>860</v>
      </c>
      <c r="O18" t="s">
        <v>37</v>
      </c>
      <c r="P18" t="s">
        <v>37</v>
      </c>
    </row>
    <row r="19" spans="1:16" x14ac:dyDescent="0.25">
      <c r="A19" t="s">
        <v>30</v>
      </c>
      <c r="B19" t="s">
        <v>31</v>
      </c>
      <c r="C19" t="str">
        <f t="shared" si="0"/>
        <v>NF3_S7</v>
      </c>
      <c r="D19" t="s">
        <v>844</v>
      </c>
      <c r="E19">
        <v>7</v>
      </c>
      <c r="F19" t="s">
        <v>845</v>
      </c>
      <c r="G19" t="s">
        <v>861</v>
      </c>
      <c r="H19" t="s">
        <v>820</v>
      </c>
      <c r="I19" t="s">
        <v>36</v>
      </c>
      <c r="J19">
        <v>11</v>
      </c>
      <c r="K19">
        <v>150</v>
      </c>
      <c r="L19" t="s">
        <v>5</v>
      </c>
      <c r="M19" t="s">
        <v>37</v>
      </c>
      <c r="N19" t="s">
        <v>862</v>
      </c>
      <c r="O19" t="s">
        <v>37</v>
      </c>
      <c r="P19" t="s">
        <v>37</v>
      </c>
    </row>
    <row r="20" spans="1:16" x14ac:dyDescent="0.25">
      <c r="A20" t="s">
        <v>30</v>
      </c>
      <c r="B20" t="s">
        <v>31</v>
      </c>
      <c r="C20" t="str">
        <f t="shared" si="0"/>
        <v>NF3_S8</v>
      </c>
      <c r="D20" t="s">
        <v>844</v>
      </c>
      <c r="E20">
        <v>8</v>
      </c>
      <c r="F20" t="s">
        <v>845</v>
      </c>
      <c r="G20" t="s">
        <v>863</v>
      </c>
      <c r="H20" t="s">
        <v>820</v>
      </c>
      <c r="I20" t="s">
        <v>36</v>
      </c>
      <c r="J20">
        <v>11</v>
      </c>
      <c r="K20">
        <v>150</v>
      </c>
      <c r="L20" t="s">
        <v>5</v>
      </c>
      <c r="M20" t="s">
        <v>37</v>
      </c>
      <c r="N20" t="s">
        <v>864</v>
      </c>
      <c r="O20" t="s">
        <v>37</v>
      </c>
      <c r="P20" t="s">
        <v>37</v>
      </c>
    </row>
    <row r="21" spans="1:16" x14ac:dyDescent="0.25">
      <c r="A21" t="s">
        <v>30</v>
      </c>
      <c r="B21" t="s">
        <v>31</v>
      </c>
      <c r="C21" t="str">
        <f t="shared" si="0"/>
        <v>NF3_S9</v>
      </c>
      <c r="D21" t="s">
        <v>844</v>
      </c>
      <c r="E21">
        <v>9</v>
      </c>
      <c r="F21" t="s">
        <v>845</v>
      </c>
      <c r="G21" t="s">
        <v>865</v>
      </c>
      <c r="H21" t="s">
        <v>820</v>
      </c>
      <c r="I21" t="s">
        <v>36</v>
      </c>
      <c r="J21">
        <v>11</v>
      </c>
      <c r="K21">
        <v>150</v>
      </c>
      <c r="L21" t="s">
        <v>5</v>
      </c>
      <c r="M21" t="s">
        <v>37</v>
      </c>
      <c r="N21" t="s">
        <v>866</v>
      </c>
      <c r="O21" t="s">
        <v>37</v>
      </c>
      <c r="P21" t="s">
        <v>37</v>
      </c>
    </row>
    <row r="22" spans="1:16" x14ac:dyDescent="0.25">
      <c r="A22" t="s">
        <v>30</v>
      </c>
      <c r="B22" t="s">
        <v>31</v>
      </c>
      <c r="C22" t="str">
        <f t="shared" si="0"/>
        <v>NF3_S10</v>
      </c>
      <c r="D22" t="s">
        <v>844</v>
      </c>
      <c r="E22">
        <v>10</v>
      </c>
      <c r="F22" t="s">
        <v>845</v>
      </c>
      <c r="G22" t="s">
        <v>867</v>
      </c>
      <c r="H22" t="s">
        <v>820</v>
      </c>
      <c r="I22" t="s">
        <v>36</v>
      </c>
      <c r="J22">
        <v>11</v>
      </c>
      <c r="K22">
        <v>800</v>
      </c>
      <c r="L22" t="s">
        <v>5</v>
      </c>
      <c r="M22" t="s">
        <v>37</v>
      </c>
      <c r="N22" t="s">
        <v>868</v>
      </c>
      <c r="O22" t="s">
        <v>37</v>
      </c>
      <c r="P22" t="s">
        <v>37</v>
      </c>
    </row>
    <row r="23" spans="1:16" x14ac:dyDescent="0.25">
      <c r="A23" t="s">
        <v>30</v>
      </c>
      <c r="B23" t="s">
        <v>31</v>
      </c>
      <c r="C23" t="str">
        <f t="shared" si="0"/>
        <v>NF4_S1</v>
      </c>
      <c r="D23" t="s">
        <v>869</v>
      </c>
      <c r="E23">
        <v>1</v>
      </c>
      <c r="F23" t="s">
        <v>870</v>
      </c>
      <c r="G23" t="s">
        <v>54</v>
      </c>
      <c r="H23" t="s">
        <v>820</v>
      </c>
      <c r="I23" t="s">
        <v>36</v>
      </c>
      <c r="J23">
        <v>12</v>
      </c>
      <c r="K23">
        <v>0</v>
      </c>
      <c r="L23" t="s">
        <v>5</v>
      </c>
      <c r="M23" t="s">
        <v>37</v>
      </c>
      <c r="N23" t="s">
        <v>871</v>
      </c>
      <c r="O23" t="s">
        <v>872</v>
      </c>
      <c r="P23" t="s">
        <v>37</v>
      </c>
    </row>
    <row r="24" spans="1:16" x14ac:dyDescent="0.25">
      <c r="A24" t="s">
        <v>30</v>
      </c>
      <c r="B24" t="s">
        <v>31</v>
      </c>
      <c r="C24" t="str">
        <f t="shared" si="0"/>
        <v>NF4_S2</v>
      </c>
      <c r="D24" t="s">
        <v>869</v>
      </c>
      <c r="E24">
        <v>2</v>
      </c>
      <c r="F24" t="s">
        <v>870</v>
      </c>
      <c r="G24" t="s">
        <v>873</v>
      </c>
      <c r="H24" t="s">
        <v>820</v>
      </c>
      <c r="I24" t="s">
        <v>36</v>
      </c>
      <c r="J24">
        <v>12</v>
      </c>
      <c r="K24">
        <v>150</v>
      </c>
      <c r="L24" t="s">
        <v>5</v>
      </c>
      <c r="M24" t="s">
        <v>37</v>
      </c>
      <c r="N24" t="s">
        <v>874</v>
      </c>
      <c r="O24" t="s">
        <v>872</v>
      </c>
      <c r="P24" t="s">
        <v>37</v>
      </c>
    </row>
    <row r="25" spans="1:16" x14ac:dyDescent="0.25">
      <c r="A25" t="s">
        <v>30</v>
      </c>
      <c r="B25" t="s">
        <v>31</v>
      </c>
      <c r="C25" t="str">
        <f t="shared" si="0"/>
        <v>NF4_S3a</v>
      </c>
      <c r="D25" t="s">
        <v>869</v>
      </c>
      <c r="E25" t="s">
        <v>40</v>
      </c>
      <c r="F25" t="s">
        <v>870</v>
      </c>
      <c r="G25" t="s">
        <v>875</v>
      </c>
      <c r="H25" t="s">
        <v>820</v>
      </c>
      <c r="I25" t="s">
        <v>36</v>
      </c>
      <c r="J25">
        <v>12</v>
      </c>
      <c r="K25">
        <v>40</v>
      </c>
      <c r="L25" t="s">
        <v>5</v>
      </c>
      <c r="M25" t="s">
        <v>37</v>
      </c>
      <c r="N25" t="s">
        <v>876</v>
      </c>
      <c r="O25" t="s">
        <v>37</v>
      </c>
      <c r="P25" t="s">
        <v>877</v>
      </c>
    </row>
    <row r="26" spans="1:16" x14ac:dyDescent="0.25">
      <c r="A26" t="s">
        <v>30</v>
      </c>
      <c r="B26" t="s">
        <v>31</v>
      </c>
      <c r="C26" t="str">
        <f t="shared" si="0"/>
        <v>NF4_S3b</v>
      </c>
      <c r="D26" t="s">
        <v>869</v>
      </c>
      <c r="E26" t="s">
        <v>44</v>
      </c>
      <c r="F26" t="s">
        <v>870</v>
      </c>
      <c r="G26" t="s">
        <v>878</v>
      </c>
      <c r="H26" t="s">
        <v>820</v>
      </c>
      <c r="I26" t="s">
        <v>36</v>
      </c>
      <c r="J26">
        <v>12</v>
      </c>
      <c r="K26">
        <v>10</v>
      </c>
      <c r="L26" t="s">
        <v>5</v>
      </c>
      <c r="M26" t="s">
        <v>37</v>
      </c>
      <c r="N26" t="s">
        <v>876</v>
      </c>
      <c r="O26" t="s">
        <v>37</v>
      </c>
      <c r="P26" t="s">
        <v>879</v>
      </c>
    </row>
    <row r="27" spans="1:16" x14ac:dyDescent="0.25">
      <c r="A27" t="s">
        <v>30</v>
      </c>
      <c r="B27" t="s">
        <v>31</v>
      </c>
      <c r="C27" t="str">
        <f t="shared" si="0"/>
        <v>NF4_S4a</v>
      </c>
      <c r="D27" t="s">
        <v>869</v>
      </c>
      <c r="E27" t="s">
        <v>158</v>
      </c>
      <c r="F27" t="s">
        <v>870</v>
      </c>
      <c r="G27" t="s">
        <v>880</v>
      </c>
      <c r="H27" t="s">
        <v>820</v>
      </c>
      <c r="I27" t="s">
        <v>36</v>
      </c>
      <c r="J27">
        <v>12</v>
      </c>
      <c r="K27">
        <v>40</v>
      </c>
      <c r="L27" t="s">
        <v>5</v>
      </c>
      <c r="M27" t="s">
        <v>37</v>
      </c>
      <c r="N27" t="s">
        <v>881</v>
      </c>
      <c r="O27" t="s">
        <v>37</v>
      </c>
      <c r="P27" t="s">
        <v>877</v>
      </c>
    </row>
    <row r="28" spans="1:16" x14ac:dyDescent="0.25">
      <c r="A28" t="s">
        <v>30</v>
      </c>
      <c r="B28" t="s">
        <v>31</v>
      </c>
      <c r="C28" t="str">
        <f t="shared" si="0"/>
        <v>NF4_S4b</v>
      </c>
      <c r="D28" t="s">
        <v>869</v>
      </c>
      <c r="E28" t="s">
        <v>163</v>
      </c>
      <c r="F28" t="s">
        <v>870</v>
      </c>
      <c r="G28" t="s">
        <v>882</v>
      </c>
      <c r="H28" t="s">
        <v>820</v>
      </c>
      <c r="I28" t="s">
        <v>36</v>
      </c>
      <c r="J28">
        <v>12</v>
      </c>
      <c r="K28">
        <v>20</v>
      </c>
      <c r="L28" t="s">
        <v>5</v>
      </c>
      <c r="M28" t="s">
        <v>37</v>
      </c>
      <c r="N28" t="s">
        <v>883</v>
      </c>
      <c r="O28" t="s">
        <v>37</v>
      </c>
      <c r="P28" t="s">
        <v>879</v>
      </c>
    </row>
    <row r="29" spans="1:16" x14ac:dyDescent="0.25">
      <c r="A29" t="s">
        <v>30</v>
      </c>
      <c r="B29" t="s">
        <v>31</v>
      </c>
      <c r="C29" t="str">
        <f t="shared" si="0"/>
        <v>NF4_S5</v>
      </c>
      <c r="D29" t="s">
        <v>869</v>
      </c>
      <c r="E29">
        <v>5</v>
      </c>
      <c r="F29" t="s">
        <v>870</v>
      </c>
      <c r="G29" t="s">
        <v>884</v>
      </c>
      <c r="H29" t="s">
        <v>820</v>
      </c>
      <c r="I29" t="s">
        <v>36</v>
      </c>
      <c r="J29">
        <v>12</v>
      </c>
      <c r="K29">
        <v>300</v>
      </c>
      <c r="L29" t="s">
        <v>5</v>
      </c>
      <c r="M29" t="s">
        <v>37</v>
      </c>
      <c r="N29" t="s">
        <v>885</v>
      </c>
      <c r="O29" t="s">
        <v>37</v>
      </c>
      <c r="P29" t="s">
        <v>37</v>
      </c>
    </row>
    <row r="30" spans="1:16" x14ac:dyDescent="0.25">
      <c r="A30" t="s">
        <v>30</v>
      </c>
      <c r="B30" t="s">
        <v>31</v>
      </c>
      <c r="C30" t="str">
        <f t="shared" si="0"/>
        <v>NF4_S6</v>
      </c>
      <c r="D30" t="s">
        <v>869</v>
      </c>
      <c r="E30">
        <v>6</v>
      </c>
      <c r="F30" t="s">
        <v>870</v>
      </c>
      <c r="G30" t="s">
        <v>886</v>
      </c>
      <c r="H30" t="s">
        <v>820</v>
      </c>
      <c r="I30" t="s">
        <v>36</v>
      </c>
      <c r="J30">
        <v>12</v>
      </c>
      <c r="K30">
        <v>150</v>
      </c>
      <c r="L30" t="s">
        <v>5</v>
      </c>
      <c r="M30" t="s">
        <v>37</v>
      </c>
      <c r="N30" t="s">
        <v>887</v>
      </c>
      <c r="O30" t="s">
        <v>37</v>
      </c>
      <c r="P30" t="s">
        <v>37</v>
      </c>
    </row>
    <row r="31" spans="1:16" x14ac:dyDescent="0.25">
      <c r="A31" t="s">
        <v>30</v>
      </c>
      <c r="B31" t="s">
        <v>31</v>
      </c>
      <c r="C31" t="str">
        <f t="shared" si="0"/>
        <v>NF4_S7</v>
      </c>
      <c r="D31" t="s">
        <v>869</v>
      </c>
      <c r="E31">
        <v>7</v>
      </c>
      <c r="F31" t="s">
        <v>870</v>
      </c>
      <c r="G31" t="s">
        <v>888</v>
      </c>
      <c r="H31" t="s">
        <v>820</v>
      </c>
      <c r="I31" t="s">
        <v>36</v>
      </c>
      <c r="J31">
        <v>12</v>
      </c>
      <c r="K31">
        <v>150</v>
      </c>
      <c r="L31" t="s">
        <v>5</v>
      </c>
      <c r="M31" t="s">
        <v>37</v>
      </c>
      <c r="N31" t="s">
        <v>889</v>
      </c>
      <c r="O31" t="s">
        <v>37</v>
      </c>
      <c r="P31" t="s">
        <v>37</v>
      </c>
    </row>
    <row r="32" spans="1:16" x14ac:dyDescent="0.25">
      <c r="A32" t="s">
        <v>30</v>
      </c>
      <c r="B32" t="s">
        <v>31</v>
      </c>
      <c r="C32" t="str">
        <f t="shared" si="0"/>
        <v>NF4_S8</v>
      </c>
      <c r="D32" t="s">
        <v>869</v>
      </c>
      <c r="E32">
        <v>8</v>
      </c>
      <c r="F32" t="s">
        <v>870</v>
      </c>
      <c r="G32" t="s">
        <v>890</v>
      </c>
      <c r="H32" t="s">
        <v>820</v>
      </c>
      <c r="I32" t="s">
        <v>36</v>
      </c>
      <c r="J32">
        <v>12</v>
      </c>
      <c r="K32">
        <v>500</v>
      </c>
      <c r="L32" t="s">
        <v>5</v>
      </c>
      <c r="M32" t="s">
        <v>37</v>
      </c>
      <c r="N32" t="s">
        <v>891</v>
      </c>
      <c r="O32" t="s">
        <v>872</v>
      </c>
      <c r="P32" t="s">
        <v>37</v>
      </c>
    </row>
    <row r="33" spans="1:16" x14ac:dyDescent="0.25">
      <c r="A33" t="s">
        <v>30</v>
      </c>
      <c r="B33" t="s">
        <v>31</v>
      </c>
      <c r="C33" t="str">
        <f t="shared" si="0"/>
        <v>NF5_S1</v>
      </c>
      <c r="D33" t="s">
        <v>892</v>
      </c>
      <c r="E33">
        <v>1</v>
      </c>
      <c r="F33" t="s">
        <v>893</v>
      </c>
      <c r="G33" t="s">
        <v>54</v>
      </c>
      <c r="H33" t="s">
        <v>820</v>
      </c>
      <c r="I33" t="s">
        <v>36</v>
      </c>
      <c r="J33">
        <v>9</v>
      </c>
      <c r="K33">
        <v>0</v>
      </c>
      <c r="L33" t="s">
        <v>5</v>
      </c>
      <c r="M33" t="s">
        <v>37</v>
      </c>
      <c r="N33" t="s">
        <v>894</v>
      </c>
      <c r="O33" t="s">
        <v>895</v>
      </c>
      <c r="P33" t="s">
        <v>37</v>
      </c>
    </row>
    <row r="34" spans="1:16" x14ac:dyDescent="0.25">
      <c r="A34" t="s">
        <v>30</v>
      </c>
      <c r="B34" t="s">
        <v>31</v>
      </c>
      <c r="C34" t="str">
        <f t="shared" si="0"/>
        <v>NF5_S2</v>
      </c>
      <c r="D34" t="s">
        <v>892</v>
      </c>
      <c r="E34">
        <v>2</v>
      </c>
      <c r="F34" t="s">
        <v>893</v>
      </c>
      <c r="G34" t="s">
        <v>49</v>
      </c>
      <c r="H34" t="s">
        <v>820</v>
      </c>
      <c r="I34" t="s">
        <v>36</v>
      </c>
      <c r="J34">
        <v>9</v>
      </c>
      <c r="K34">
        <v>0</v>
      </c>
      <c r="L34" t="s">
        <v>5</v>
      </c>
      <c r="M34" t="s">
        <v>37</v>
      </c>
      <c r="N34" t="s">
        <v>896</v>
      </c>
      <c r="O34" t="s">
        <v>895</v>
      </c>
      <c r="P34" t="s">
        <v>37</v>
      </c>
    </row>
    <row r="35" spans="1:16" x14ac:dyDescent="0.25">
      <c r="A35" t="s">
        <v>30</v>
      </c>
      <c r="B35" t="s">
        <v>31</v>
      </c>
      <c r="C35" t="str">
        <f t="shared" si="0"/>
        <v>NF6_S1</v>
      </c>
      <c r="D35" t="s">
        <v>897</v>
      </c>
      <c r="E35">
        <v>1</v>
      </c>
      <c r="F35" t="s">
        <v>898</v>
      </c>
      <c r="G35" t="s">
        <v>54</v>
      </c>
      <c r="H35" t="s">
        <v>820</v>
      </c>
      <c r="I35" t="s">
        <v>36</v>
      </c>
      <c r="J35">
        <v>9</v>
      </c>
      <c r="K35">
        <v>0</v>
      </c>
      <c r="L35" t="s">
        <v>5</v>
      </c>
      <c r="M35" t="s">
        <v>37</v>
      </c>
      <c r="N35" t="s">
        <v>899</v>
      </c>
      <c r="O35" t="s">
        <v>872</v>
      </c>
      <c r="P35" t="s">
        <v>37</v>
      </c>
    </row>
    <row r="36" spans="1:16" x14ac:dyDescent="0.25">
      <c r="A36" t="s">
        <v>30</v>
      </c>
      <c r="B36" t="s">
        <v>31</v>
      </c>
      <c r="C36" t="str">
        <f t="shared" si="0"/>
        <v>NF6_S2</v>
      </c>
      <c r="D36" t="s">
        <v>897</v>
      </c>
      <c r="E36">
        <v>2</v>
      </c>
      <c r="F36" t="s">
        <v>898</v>
      </c>
      <c r="G36" t="s">
        <v>49</v>
      </c>
      <c r="H36" t="s">
        <v>820</v>
      </c>
      <c r="I36" t="s">
        <v>36</v>
      </c>
      <c r="J36">
        <v>9</v>
      </c>
      <c r="K36">
        <v>50</v>
      </c>
      <c r="L36" t="s">
        <v>5</v>
      </c>
      <c r="M36" t="s">
        <v>37</v>
      </c>
      <c r="N36" t="s">
        <v>900</v>
      </c>
      <c r="O36" t="s">
        <v>872</v>
      </c>
      <c r="P36" t="s">
        <v>37</v>
      </c>
    </row>
    <row r="37" spans="1:16" x14ac:dyDescent="0.25">
      <c r="A37" t="s">
        <v>30</v>
      </c>
      <c r="B37" t="s">
        <v>31</v>
      </c>
      <c r="C37" t="str">
        <f t="shared" si="0"/>
        <v>NF7_S1</v>
      </c>
      <c r="D37" t="s">
        <v>901</v>
      </c>
      <c r="E37">
        <v>1</v>
      </c>
      <c r="F37" t="s">
        <v>902</v>
      </c>
      <c r="G37" t="s">
        <v>54</v>
      </c>
      <c r="H37" t="s">
        <v>820</v>
      </c>
      <c r="I37" t="s">
        <v>36</v>
      </c>
      <c r="J37">
        <v>12</v>
      </c>
      <c r="K37">
        <v>0</v>
      </c>
      <c r="L37" t="s">
        <v>5</v>
      </c>
      <c r="M37" t="s">
        <v>37</v>
      </c>
      <c r="N37" t="s">
        <v>903</v>
      </c>
      <c r="O37" t="s">
        <v>904</v>
      </c>
      <c r="P37" t="s">
        <v>37</v>
      </c>
    </row>
    <row r="38" spans="1:16" x14ac:dyDescent="0.25">
      <c r="A38" t="s">
        <v>30</v>
      </c>
      <c r="B38" t="s">
        <v>31</v>
      </c>
      <c r="C38" t="str">
        <f t="shared" si="0"/>
        <v>NF7_S2</v>
      </c>
      <c r="D38" t="s">
        <v>901</v>
      </c>
      <c r="E38">
        <v>2</v>
      </c>
      <c r="F38" t="s">
        <v>902</v>
      </c>
      <c r="G38" t="s">
        <v>905</v>
      </c>
      <c r="H38" t="s">
        <v>820</v>
      </c>
      <c r="I38" t="s">
        <v>36</v>
      </c>
      <c r="J38">
        <v>12</v>
      </c>
      <c r="K38">
        <v>200</v>
      </c>
      <c r="L38" t="s">
        <v>5</v>
      </c>
      <c r="M38" t="s">
        <v>37</v>
      </c>
      <c r="N38" t="s">
        <v>906</v>
      </c>
      <c r="O38" t="s">
        <v>904</v>
      </c>
      <c r="P38" t="s">
        <v>37</v>
      </c>
    </row>
    <row r="39" spans="1:16" x14ac:dyDescent="0.25">
      <c r="A39" t="s">
        <v>30</v>
      </c>
      <c r="B39" t="s">
        <v>31</v>
      </c>
      <c r="C39" t="str">
        <f t="shared" si="0"/>
        <v>NF7_S3</v>
      </c>
      <c r="D39" t="s">
        <v>901</v>
      </c>
      <c r="E39">
        <v>3</v>
      </c>
      <c r="F39" t="s">
        <v>902</v>
      </c>
      <c r="G39" t="s">
        <v>907</v>
      </c>
      <c r="H39" t="s">
        <v>820</v>
      </c>
      <c r="I39" t="s">
        <v>36</v>
      </c>
      <c r="J39">
        <v>12</v>
      </c>
      <c r="K39">
        <v>50</v>
      </c>
      <c r="L39" t="s">
        <v>5</v>
      </c>
      <c r="M39" t="s">
        <v>37</v>
      </c>
      <c r="N39" t="s">
        <v>908</v>
      </c>
      <c r="O39" t="s">
        <v>904</v>
      </c>
      <c r="P39" t="s">
        <v>37</v>
      </c>
    </row>
    <row r="40" spans="1:16" x14ac:dyDescent="0.25">
      <c r="A40" t="s">
        <v>30</v>
      </c>
      <c r="B40" t="s">
        <v>31</v>
      </c>
      <c r="C40" t="str">
        <f t="shared" si="0"/>
        <v>NF7_S4</v>
      </c>
      <c r="D40" t="s">
        <v>901</v>
      </c>
      <c r="E40">
        <v>4</v>
      </c>
      <c r="F40" t="s">
        <v>902</v>
      </c>
      <c r="G40" t="s">
        <v>909</v>
      </c>
      <c r="H40" t="s">
        <v>820</v>
      </c>
      <c r="I40" t="s">
        <v>36</v>
      </c>
      <c r="J40">
        <v>12</v>
      </c>
      <c r="K40">
        <v>50</v>
      </c>
      <c r="L40" t="s">
        <v>5</v>
      </c>
      <c r="M40" t="s">
        <v>37</v>
      </c>
      <c r="N40" t="s">
        <v>910</v>
      </c>
      <c r="O40" t="s">
        <v>37</v>
      </c>
      <c r="P40" t="s">
        <v>37</v>
      </c>
    </row>
    <row r="41" spans="1:16" x14ac:dyDescent="0.25">
      <c r="A41" t="s">
        <v>30</v>
      </c>
      <c r="B41" t="s">
        <v>31</v>
      </c>
      <c r="C41" t="str">
        <f t="shared" si="0"/>
        <v>NF7_S5a</v>
      </c>
      <c r="D41" t="s">
        <v>901</v>
      </c>
      <c r="E41" t="s">
        <v>60</v>
      </c>
      <c r="F41" t="s">
        <v>902</v>
      </c>
      <c r="G41" t="s">
        <v>911</v>
      </c>
      <c r="H41" t="s">
        <v>820</v>
      </c>
      <c r="I41" t="s">
        <v>36</v>
      </c>
      <c r="J41">
        <v>12</v>
      </c>
      <c r="K41">
        <v>300</v>
      </c>
      <c r="L41" t="s">
        <v>5</v>
      </c>
      <c r="M41" t="s">
        <v>37</v>
      </c>
      <c r="N41" t="s">
        <v>912</v>
      </c>
      <c r="O41" t="s">
        <v>913</v>
      </c>
      <c r="P41" t="s">
        <v>914</v>
      </c>
    </row>
    <row r="42" spans="1:16" x14ac:dyDescent="0.25">
      <c r="A42" t="s">
        <v>30</v>
      </c>
      <c r="B42" t="s">
        <v>31</v>
      </c>
      <c r="C42" t="str">
        <f t="shared" si="0"/>
        <v>NF7_S6a</v>
      </c>
      <c r="D42" t="s">
        <v>901</v>
      </c>
      <c r="E42" t="s">
        <v>915</v>
      </c>
      <c r="F42" t="s">
        <v>902</v>
      </c>
      <c r="G42" t="s">
        <v>916</v>
      </c>
      <c r="H42" t="s">
        <v>820</v>
      </c>
      <c r="I42" t="s">
        <v>36</v>
      </c>
      <c r="J42">
        <v>12</v>
      </c>
      <c r="K42">
        <v>100</v>
      </c>
      <c r="L42" t="s">
        <v>5</v>
      </c>
      <c r="M42" t="s">
        <v>37</v>
      </c>
      <c r="N42" t="s">
        <v>917</v>
      </c>
      <c r="O42" t="s">
        <v>913</v>
      </c>
      <c r="P42" t="s">
        <v>914</v>
      </c>
    </row>
    <row r="43" spans="1:16" x14ac:dyDescent="0.25">
      <c r="A43" t="s">
        <v>30</v>
      </c>
      <c r="B43" t="s">
        <v>31</v>
      </c>
      <c r="C43" t="str">
        <f t="shared" si="0"/>
        <v>NF7_S5b</v>
      </c>
      <c r="D43" t="s">
        <v>901</v>
      </c>
      <c r="E43" t="s">
        <v>63</v>
      </c>
      <c r="F43" t="s">
        <v>902</v>
      </c>
      <c r="G43" t="s">
        <v>918</v>
      </c>
      <c r="H43" t="s">
        <v>820</v>
      </c>
      <c r="I43" t="s">
        <v>36</v>
      </c>
      <c r="J43">
        <v>12</v>
      </c>
      <c r="K43">
        <v>200</v>
      </c>
      <c r="L43" t="s">
        <v>5</v>
      </c>
      <c r="M43" t="s">
        <v>37</v>
      </c>
      <c r="N43" t="s">
        <v>912</v>
      </c>
      <c r="O43" t="s">
        <v>913</v>
      </c>
      <c r="P43" t="s">
        <v>919</v>
      </c>
    </row>
    <row r="44" spans="1:16" x14ac:dyDescent="0.25">
      <c r="A44" t="s">
        <v>30</v>
      </c>
      <c r="B44" t="s">
        <v>31</v>
      </c>
      <c r="C44" t="str">
        <f t="shared" si="0"/>
        <v>NF7_S6b</v>
      </c>
      <c r="D44" t="s">
        <v>901</v>
      </c>
      <c r="E44" t="s">
        <v>920</v>
      </c>
      <c r="F44" t="s">
        <v>902</v>
      </c>
      <c r="G44" t="s">
        <v>921</v>
      </c>
      <c r="H44" t="s">
        <v>820</v>
      </c>
      <c r="I44" t="s">
        <v>36</v>
      </c>
      <c r="J44">
        <v>12</v>
      </c>
      <c r="K44">
        <v>100</v>
      </c>
      <c r="L44" t="s">
        <v>5</v>
      </c>
      <c r="M44" t="s">
        <v>37</v>
      </c>
      <c r="N44" t="s">
        <v>922</v>
      </c>
      <c r="O44" t="s">
        <v>913</v>
      </c>
      <c r="P44" t="s">
        <v>919</v>
      </c>
    </row>
    <row r="45" spans="1:16" x14ac:dyDescent="0.25">
      <c r="A45" t="s">
        <v>30</v>
      </c>
      <c r="B45" t="s">
        <v>31</v>
      </c>
      <c r="C45" t="str">
        <f t="shared" si="0"/>
        <v>NF7_S7b</v>
      </c>
      <c r="D45" t="s">
        <v>901</v>
      </c>
      <c r="E45" t="s">
        <v>174</v>
      </c>
      <c r="F45" t="s">
        <v>902</v>
      </c>
      <c r="G45" t="s">
        <v>923</v>
      </c>
      <c r="H45" t="s">
        <v>820</v>
      </c>
      <c r="I45" t="s">
        <v>36</v>
      </c>
      <c r="J45">
        <v>12</v>
      </c>
      <c r="K45">
        <v>50</v>
      </c>
      <c r="L45" t="s">
        <v>5</v>
      </c>
      <c r="M45" t="s">
        <v>37</v>
      </c>
      <c r="N45" t="s">
        <v>924</v>
      </c>
      <c r="O45" t="s">
        <v>913</v>
      </c>
      <c r="P45" t="s">
        <v>919</v>
      </c>
    </row>
    <row r="46" spans="1:16" x14ac:dyDescent="0.25">
      <c r="A46" t="s">
        <v>30</v>
      </c>
      <c r="B46" t="s">
        <v>31</v>
      </c>
      <c r="C46" t="str">
        <f t="shared" si="0"/>
        <v>NF8_S1</v>
      </c>
      <c r="D46" t="s">
        <v>925</v>
      </c>
      <c r="E46">
        <v>1</v>
      </c>
      <c r="F46" t="s">
        <v>926</v>
      </c>
      <c r="G46" t="s">
        <v>54</v>
      </c>
      <c r="H46" t="s">
        <v>820</v>
      </c>
      <c r="I46" t="s">
        <v>36</v>
      </c>
      <c r="J46">
        <v>11</v>
      </c>
      <c r="K46">
        <v>0</v>
      </c>
      <c r="L46" t="s">
        <v>5</v>
      </c>
      <c r="M46" t="s">
        <v>37</v>
      </c>
      <c r="N46" t="s">
        <v>927</v>
      </c>
      <c r="O46" t="s">
        <v>928</v>
      </c>
      <c r="P46" t="s">
        <v>37</v>
      </c>
    </row>
    <row r="47" spans="1:16" x14ac:dyDescent="0.25">
      <c r="A47" t="s">
        <v>30</v>
      </c>
      <c r="B47" t="s">
        <v>31</v>
      </c>
      <c r="C47" t="str">
        <f t="shared" si="0"/>
        <v>NF8_S2</v>
      </c>
      <c r="D47" t="s">
        <v>925</v>
      </c>
      <c r="E47">
        <v>2</v>
      </c>
      <c r="F47" t="s">
        <v>926</v>
      </c>
      <c r="G47" t="s">
        <v>929</v>
      </c>
      <c r="H47" t="s">
        <v>820</v>
      </c>
      <c r="I47" t="s">
        <v>36</v>
      </c>
      <c r="J47">
        <v>11</v>
      </c>
      <c r="K47">
        <v>300</v>
      </c>
      <c r="L47" t="s">
        <v>5</v>
      </c>
      <c r="M47" t="s">
        <v>37</v>
      </c>
      <c r="N47" t="s">
        <v>930</v>
      </c>
      <c r="O47" t="s">
        <v>928</v>
      </c>
      <c r="P47" t="s">
        <v>37</v>
      </c>
    </row>
    <row r="48" spans="1:16" x14ac:dyDescent="0.25">
      <c r="A48" t="s">
        <v>30</v>
      </c>
      <c r="B48" t="s">
        <v>31</v>
      </c>
      <c r="C48" t="str">
        <f t="shared" si="0"/>
        <v>NF8_S3</v>
      </c>
      <c r="D48" t="s">
        <v>925</v>
      </c>
      <c r="E48">
        <v>3</v>
      </c>
      <c r="F48" t="s">
        <v>926</v>
      </c>
      <c r="G48" t="s">
        <v>931</v>
      </c>
      <c r="H48" t="s">
        <v>820</v>
      </c>
      <c r="I48" t="s">
        <v>36</v>
      </c>
      <c r="J48">
        <v>11</v>
      </c>
      <c r="K48">
        <v>150</v>
      </c>
      <c r="L48" t="s">
        <v>5</v>
      </c>
      <c r="M48" t="s">
        <v>37</v>
      </c>
      <c r="N48" t="s">
        <v>932</v>
      </c>
      <c r="O48" t="s">
        <v>37</v>
      </c>
      <c r="P48" t="s">
        <v>37</v>
      </c>
    </row>
    <row r="49" spans="1:16" x14ac:dyDescent="0.25">
      <c r="A49" t="s">
        <v>30</v>
      </c>
      <c r="B49" t="s">
        <v>31</v>
      </c>
      <c r="C49" t="str">
        <f t="shared" si="0"/>
        <v>NF8_S4</v>
      </c>
      <c r="D49" t="s">
        <v>925</v>
      </c>
      <c r="E49">
        <v>4</v>
      </c>
      <c r="F49" t="s">
        <v>926</v>
      </c>
      <c r="G49" t="s">
        <v>933</v>
      </c>
      <c r="H49" t="s">
        <v>820</v>
      </c>
      <c r="I49" t="s">
        <v>36</v>
      </c>
      <c r="J49">
        <v>11</v>
      </c>
      <c r="K49">
        <v>550</v>
      </c>
      <c r="L49" t="s">
        <v>5</v>
      </c>
      <c r="M49" t="s">
        <v>37</v>
      </c>
      <c r="N49" t="s">
        <v>934</v>
      </c>
      <c r="O49" t="s">
        <v>37</v>
      </c>
      <c r="P49" t="s">
        <v>37</v>
      </c>
    </row>
    <row r="50" spans="1:16" x14ac:dyDescent="0.25">
      <c r="A50" t="s">
        <v>30</v>
      </c>
      <c r="B50" t="s">
        <v>31</v>
      </c>
      <c r="C50" t="str">
        <f t="shared" si="0"/>
        <v>NF9_S1</v>
      </c>
      <c r="D50" t="s">
        <v>935</v>
      </c>
      <c r="E50">
        <v>1</v>
      </c>
      <c r="F50" t="s">
        <v>936</v>
      </c>
      <c r="G50" t="s">
        <v>54</v>
      </c>
      <c r="H50" t="s">
        <v>820</v>
      </c>
      <c r="I50" t="s">
        <v>36</v>
      </c>
      <c r="J50">
        <v>13</v>
      </c>
      <c r="K50">
        <v>0</v>
      </c>
      <c r="L50" t="s">
        <v>5</v>
      </c>
      <c r="M50" t="s">
        <v>37</v>
      </c>
      <c r="N50" t="s">
        <v>937</v>
      </c>
      <c r="O50" t="s">
        <v>938</v>
      </c>
      <c r="P50" t="s">
        <v>37</v>
      </c>
    </row>
    <row r="51" spans="1:16" x14ac:dyDescent="0.25">
      <c r="A51" t="s">
        <v>30</v>
      </c>
      <c r="B51" t="s">
        <v>31</v>
      </c>
      <c r="C51" t="str">
        <f t="shared" si="0"/>
        <v>NF9_S2</v>
      </c>
      <c r="D51" t="s">
        <v>935</v>
      </c>
      <c r="E51">
        <v>2</v>
      </c>
      <c r="F51" t="s">
        <v>936</v>
      </c>
      <c r="G51" t="s">
        <v>49</v>
      </c>
      <c r="H51" t="s">
        <v>820</v>
      </c>
      <c r="I51" t="s">
        <v>36</v>
      </c>
      <c r="J51">
        <v>13</v>
      </c>
      <c r="K51">
        <v>1000</v>
      </c>
      <c r="L51" t="s">
        <v>5</v>
      </c>
      <c r="M51" t="s">
        <v>37</v>
      </c>
      <c r="N51" t="s">
        <v>939</v>
      </c>
      <c r="O51" t="s">
        <v>938</v>
      </c>
      <c r="P51" t="s">
        <v>37</v>
      </c>
    </row>
    <row r="52" spans="1:16" x14ac:dyDescent="0.25">
      <c r="A52" t="s">
        <v>30</v>
      </c>
      <c r="B52" t="s">
        <v>31</v>
      </c>
      <c r="C52" t="str">
        <f t="shared" si="0"/>
        <v>NF10_S1</v>
      </c>
      <c r="D52" t="s">
        <v>940</v>
      </c>
      <c r="E52">
        <v>1</v>
      </c>
      <c r="F52" t="s">
        <v>941</v>
      </c>
      <c r="G52" t="s">
        <v>54</v>
      </c>
      <c r="H52" t="s">
        <v>820</v>
      </c>
      <c r="I52" t="s">
        <v>36</v>
      </c>
      <c r="J52">
        <v>11</v>
      </c>
      <c r="K52">
        <v>0</v>
      </c>
      <c r="L52" t="s">
        <v>5</v>
      </c>
      <c r="M52" t="s">
        <v>37</v>
      </c>
      <c r="N52" t="s">
        <v>942</v>
      </c>
      <c r="O52" t="s">
        <v>943</v>
      </c>
      <c r="P52" t="s">
        <v>37</v>
      </c>
    </row>
    <row r="53" spans="1:16" x14ac:dyDescent="0.25">
      <c r="A53" t="s">
        <v>30</v>
      </c>
      <c r="B53" t="s">
        <v>31</v>
      </c>
      <c r="C53" t="str">
        <f t="shared" si="0"/>
        <v>NF10_S2</v>
      </c>
      <c r="D53" t="s">
        <v>940</v>
      </c>
      <c r="E53">
        <v>2</v>
      </c>
      <c r="F53" t="s">
        <v>941</v>
      </c>
      <c r="G53" t="s">
        <v>49</v>
      </c>
      <c r="H53" t="s">
        <v>820</v>
      </c>
      <c r="I53" t="s">
        <v>36</v>
      </c>
      <c r="J53">
        <v>11</v>
      </c>
      <c r="K53">
        <v>0</v>
      </c>
      <c r="L53" t="s">
        <v>5</v>
      </c>
      <c r="M53" t="s">
        <v>37</v>
      </c>
      <c r="N53" t="s">
        <v>944</v>
      </c>
      <c r="O53" t="s">
        <v>943</v>
      </c>
      <c r="P53" t="s">
        <v>37</v>
      </c>
    </row>
    <row r="54" spans="1:16" x14ac:dyDescent="0.25">
      <c r="A54" t="s">
        <v>30</v>
      </c>
      <c r="B54" t="s">
        <v>31</v>
      </c>
      <c r="C54" t="str">
        <f t="shared" si="0"/>
        <v>NF11_S1</v>
      </c>
      <c r="D54" t="s">
        <v>945</v>
      </c>
      <c r="E54">
        <v>1</v>
      </c>
      <c r="F54" t="s">
        <v>946</v>
      </c>
      <c r="G54" t="s">
        <v>54</v>
      </c>
      <c r="H54" t="s">
        <v>820</v>
      </c>
      <c r="I54" t="s">
        <v>36</v>
      </c>
      <c r="J54">
        <v>22</v>
      </c>
      <c r="K54">
        <v>0</v>
      </c>
      <c r="L54" t="s">
        <v>5</v>
      </c>
      <c r="M54" t="s">
        <v>131</v>
      </c>
      <c r="N54" t="s">
        <v>132</v>
      </c>
      <c r="O54" t="s">
        <v>947</v>
      </c>
      <c r="P54" t="s">
        <v>37</v>
      </c>
    </row>
    <row r="55" spans="1:16" x14ac:dyDescent="0.25">
      <c r="A55" t="s">
        <v>30</v>
      </c>
      <c r="B55" t="s">
        <v>31</v>
      </c>
      <c r="C55" t="str">
        <f t="shared" si="0"/>
        <v>NF11_S2a</v>
      </c>
      <c r="D55" t="s">
        <v>945</v>
      </c>
      <c r="E55" t="s">
        <v>72</v>
      </c>
      <c r="F55" t="s">
        <v>946</v>
      </c>
      <c r="G55" t="s">
        <v>948</v>
      </c>
      <c r="H55" t="s">
        <v>820</v>
      </c>
      <c r="I55" t="s">
        <v>36</v>
      </c>
      <c r="J55">
        <v>22</v>
      </c>
      <c r="K55">
        <v>0</v>
      </c>
      <c r="L55" t="s">
        <v>5</v>
      </c>
      <c r="M55" t="s">
        <v>131</v>
      </c>
      <c r="N55" t="s">
        <v>949</v>
      </c>
      <c r="O55" t="s">
        <v>947</v>
      </c>
      <c r="P55" t="s">
        <v>950</v>
      </c>
    </row>
    <row r="56" spans="1:16" x14ac:dyDescent="0.25">
      <c r="A56" t="s">
        <v>30</v>
      </c>
      <c r="B56" t="s">
        <v>31</v>
      </c>
      <c r="C56" t="str">
        <f t="shared" si="0"/>
        <v>NF11_S2b</v>
      </c>
      <c r="D56" t="s">
        <v>945</v>
      </c>
      <c r="E56" t="s">
        <v>75</v>
      </c>
      <c r="F56" t="s">
        <v>946</v>
      </c>
      <c r="G56" t="s">
        <v>951</v>
      </c>
      <c r="H56" t="s">
        <v>820</v>
      </c>
      <c r="I56" t="s">
        <v>36</v>
      </c>
      <c r="J56">
        <v>22</v>
      </c>
      <c r="K56">
        <v>50</v>
      </c>
      <c r="L56" t="s">
        <v>5</v>
      </c>
      <c r="M56" t="s">
        <v>131</v>
      </c>
      <c r="N56" t="s">
        <v>949</v>
      </c>
      <c r="O56" t="s">
        <v>947</v>
      </c>
      <c r="P56" t="s">
        <v>952</v>
      </c>
    </row>
    <row r="57" spans="1:16" x14ac:dyDescent="0.25">
      <c r="A57" t="s">
        <v>30</v>
      </c>
      <c r="B57" t="s">
        <v>31</v>
      </c>
      <c r="C57" t="str">
        <f t="shared" si="0"/>
        <v>NF12_S1</v>
      </c>
      <c r="D57" t="s">
        <v>953</v>
      </c>
      <c r="E57">
        <v>1</v>
      </c>
      <c r="F57" t="s">
        <v>954</v>
      </c>
      <c r="G57" t="s">
        <v>54</v>
      </c>
      <c r="H57" t="s">
        <v>820</v>
      </c>
      <c r="I57" t="s">
        <v>36</v>
      </c>
      <c r="J57">
        <v>24</v>
      </c>
      <c r="K57">
        <v>0</v>
      </c>
      <c r="L57" t="s">
        <v>5</v>
      </c>
      <c r="M57" t="s">
        <v>37</v>
      </c>
      <c r="N57" t="s">
        <v>955</v>
      </c>
      <c r="O57" t="s">
        <v>956</v>
      </c>
      <c r="P57" t="s">
        <v>37</v>
      </c>
    </row>
    <row r="58" spans="1:16" x14ac:dyDescent="0.25">
      <c r="A58" t="s">
        <v>30</v>
      </c>
      <c r="B58" t="s">
        <v>31</v>
      </c>
      <c r="C58" t="str">
        <f t="shared" si="0"/>
        <v>NF12_S2</v>
      </c>
      <c r="D58" t="s">
        <v>953</v>
      </c>
      <c r="E58">
        <v>2</v>
      </c>
      <c r="F58" t="s">
        <v>954</v>
      </c>
      <c r="G58" t="s">
        <v>49</v>
      </c>
      <c r="H58" t="s">
        <v>820</v>
      </c>
      <c r="I58" t="s">
        <v>36</v>
      </c>
      <c r="J58">
        <v>24</v>
      </c>
      <c r="K58">
        <v>1000</v>
      </c>
      <c r="L58" t="s">
        <v>5</v>
      </c>
      <c r="M58" t="s">
        <v>37</v>
      </c>
      <c r="N58" t="s">
        <v>957</v>
      </c>
      <c r="O58" t="s">
        <v>956</v>
      </c>
      <c r="P58" t="s">
        <v>37</v>
      </c>
    </row>
    <row r="59" spans="1:16" x14ac:dyDescent="0.25">
      <c r="A59" t="s">
        <v>30</v>
      </c>
      <c r="B59" t="s">
        <v>31</v>
      </c>
      <c r="C59" t="str">
        <f t="shared" si="0"/>
        <v>NF13_S1</v>
      </c>
      <c r="D59" t="s">
        <v>958</v>
      </c>
      <c r="E59">
        <v>1</v>
      </c>
      <c r="F59" t="s">
        <v>959</v>
      </c>
      <c r="G59" t="s">
        <v>54</v>
      </c>
      <c r="H59" t="s">
        <v>820</v>
      </c>
      <c r="I59" t="s">
        <v>36</v>
      </c>
      <c r="J59">
        <v>26</v>
      </c>
      <c r="K59">
        <v>0</v>
      </c>
      <c r="L59" t="s">
        <v>5</v>
      </c>
      <c r="M59" t="s">
        <v>37</v>
      </c>
      <c r="N59" t="s">
        <v>960</v>
      </c>
      <c r="O59" t="s">
        <v>961</v>
      </c>
      <c r="P59" t="s">
        <v>37</v>
      </c>
    </row>
    <row r="60" spans="1:16" x14ac:dyDescent="0.25">
      <c r="A60" t="s">
        <v>30</v>
      </c>
      <c r="B60" t="s">
        <v>31</v>
      </c>
      <c r="C60" t="str">
        <f t="shared" si="0"/>
        <v>NF13_S2</v>
      </c>
      <c r="D60" t="s">
        <v>958</v>
      </c>
      <c r="E60">
        <v>2</v>
      </c>
      <c r="F60" t="s">
        <v>959</v>
      </c>
      <c r="G60" t="s">
        <v>962</v>
      </c>
      <c r="H60" t="s">
        <v>820</v>
      </c>
      <c r="I60" t="s">
        <v>36</v>
      </c>
      <c r="J60">
        <v>26</v>
      </c>
      <c r="K60">
        <v>500</v>
      </c>
      <c r="L60" t="s">
        <v>5</v>
      </c>
      <c r="M60" t="s">
        <v>37</v>
      </c>
      <c r="N60" t="s">
        <v>963</v>
      </c>
      <c r="O60" t="s">
        <v>961</v>
      </c>
      <c r="P60" t="s">
        <v>37</v>
      </c>
    </row>
    <row r="61" spans="1:16" x14ac:dyDescent="0.25">
      <c r="A61" t="s">
        <v>30</v>
      </c>
      <c r="B61" t="s">
        <v>31</v>
      </c>
      <c r="C61" t="str">
        <f t="shared" si="0"/>
        <v>NF13_S3</v>
      </c>
      <c r="D61" t="s">
        <v>958</v>
      </c>
      <c r="E61">
        <v>3</v>
      </c>
      <c r="F61" t="s">
        <v>959</v>
      </c>
      <c r="G61" t="s">
        <v>49</v>
      </c>
      <c r="H61" t="s">
        <v>820</v>
      </c>
      <c r="I61" t="s">
        <v>36</v>
      </c>
      <c r="J61">
        <v>26</v>
      </c>
      <c r="K61">
        <v>1000</v>
      </c>
      <c r="L61" t="s">
        <v>5</v>
      </c>
      <c r="M61" t="s">
        <v>37</v>
      </c>
      <c r="N61" t="s">
        <v>964</v>
      </c>
      <c r="O61" t="s">
        <v>37</v>
      </c>
      <c r="P61" t="s">
        <v>37</v>
      </c>
    </row>
    <row r="62" spans="1:16" x14ac:dyDescent="0.25">
      <c r="A62" t="s">
        <v>30</v>
      </c>
      <c r="B62" t="s">
        <v>31</v>
      </c>
      <c r="C62" t="str">
        <f t="shared" si="0"/>
        <v>NF13_S4</v>
      </c>
      <c r="D62" t="s">
        <v>958</v>
      </c>
      <c r="E62">
        <v>4</v>
      </c>
      <c r="F62" t="s">
        <v>959</v>
      </c>
      <c r="G62" t="s">
        <v>49</v>
      </c>
      <c r="H62" t="s">
        <v>820</v>
      </c>
      <c r="I62" t="s">
        <v>36</v>
      </c>
      <c r="J62">
        <v>26</v>
      </c>
      <c r="K62">
        <v>1000</v>
      </c>
      <c r="L62" t="s">
        <v>5</v>
      </c>
      <c r="M62" t="s">
        <v>37</v>
      </c>
      <c r="N62" t="s">
        <v>965</v>
      </c>
      <c r="O62" t="s">
        <v>37</v>
      </c>
      <c r="P62" t="s">
        <v>37</v>
      </c>
    </row>
    <row r="63" spans="1:16" x14ac:dyDescent="0.25">
      <c r="A63" t="s">
        <v>30</v>
      </c>
      <c r="B63" t="s">
        <v>31</v>
      </c>
      <c r="C63" t="str">
        <f t="shared" si="0"/>
        <v>NF14_S1</v>
      </c>
      <c r="D63" t="s">
        <v>966</v>
      </c>
      <c r="E63">
        <v>1</v>
      </c>
      <c r="F63" t="s">
        <v>967</v>
      </c>
      <c r="G63" t="s">
        <v>54</v>
      </c>
      <c r="H63" t="s">
        <v>820</v>
      </c>
      <c r="I63" t="s">
        <v>36</v>
      </c>
      <c r="J63">
        <v>28</v>
      </c>
      <c r="K63">
        <v>0</v>
      </c>
      <c r="L63" t="s">
        <v>5</v>
      </c>
      <c r="M63" t="s">
        <v>37</v>
      </c>
      <c r="N63" t="s">
        <v>968</v>
      </c>
      <c r="O63" t="s">
        <v>969</v>
      </c>
      <c r="P63" t="s">
        <v>37</v>
      </c>
    </row>
    <row r="64" spans="1:16" x14ac:dyDescent="0.25">
      <c r="A64" t="s">
        <v>30</v>
      </c>
      <c r="B64" t="s">
        <v>31</v>
      </c>
      <c r="C64" t="str">
        <f t="shared" si="0"/>
        <v>NF14_S2</v>
      </c>
      <c r="D64" t="s">
        <v>966</v>
      </c>
      <c r="E64">
        <v>2</v>
      </c>
      <c r="F64" t="s">
        <v>967</v>
      </c>
      <c r="G64" t="s">
        <v>970</v>
      </c>
      <c r="H64" t="s">
        <v>820</v>
      </c>
      <c r="I64" t="s">
        <v>36</v>
      </c>
      <c r="J64">
        <v>28</v>
      </c>
      <c r="K64">
        <v>200</v>
      </c>
      <c r="L64" t="s">
        <v>5</v>
      </c>
      <c r="M64" t="s">
        <v>37</v>
      </c>
      <c r="N64" t="s">
        <v>971</v>
      </c>
      <c r="O64" t="s">
        <v>969</v>
      </c>
      <c r="P64" t="s">
        <v>37</v>
      </c>
    </row>
    <row r="65" spans="1:16" x14ac:dyDescent="0.25">
      <c r="A65" t="s">
        <v>30</v>
      </c>
      <c r="B65" t="s">
        <v>31</v>
      </c>
      <c r="C65" t="str">
        <f t="shared" si="0"/>
        <v>NF14_S3</v>
      </c>
      <c r="D65" t="s">
        <v>966</v>
      </c>
      <c r="E65">
        <v>3</v>
      </c>
      <c r="F65" t="s">
        <v>967</v>
      </c>
      <c r="G65" t="s">
        <v>972</v>
      </c>
      <c r="H65" t="s">
        <v>820</v>
      </c>
      <c r="I65" t="s">
        <v>36</v>
      </c>
      <c r="J65">
        <v>28</v>
      </c>
      <c r="K65">
        <v>300</v>
      </c>
      <c r="L65" t="s">
        <v>5</v>
      </c>
      <c r="M65" t="s">
        <v>37</v>
      </c>
      <c r="N65" t="s">
        <v>973</v>
      </c>
      <c r="O65" t="s">
        <v>37</v>
      </c>
      <c r="P65" t="s">
        <v>37</v>
      </c>
    </row>
    <row r="66" spans="1:16" x14ac:dyDescent="0.25">
      <c r="A66" t="s">
        <v>30</v>
      </c>
      <c r="B66" t="s">
        <v>31</v>
      </c>
      <c r="C66" t="str">
        <f t="shared" ref="C66:C129" si="1">_xlfn.CONCAT(D66,"_S",E66)</f>
        <v>NF14_S4</v>
      </c>
      <c r="D66" t="s">
        <v>966</v>
      </c>
      <c r="E66">
        <v>4</v>
      </c>
      <c r="F66" t="s">
        <v>967</v>
      </c>
      <c r="G66" t="s">
        <v>49</v>
      </c>
      <c r="H66" t="s">
        <v>820</v>
      </c>
      <c r="I66" t="s">
        <v>36</v>
      </c>
      <c r="J66">
        <v>28</v>
      </c>
      <c r="K66">
        <v>300</v>
      </c>
      <c r="L66" t="s">
        <v>5</v>
      </c>
      <c r="M66" t="s">
        <v>37</v>
      </c>
      <c r="N66" t="s">
        <v>974</v>
      </c>
      <c r="O66" t="s">
        <v>37</v>
      </c>
      <c r="P66" t="s">
        <v>37</v>
      </c>
    </row>
    <row r="67" spans="1:16" x14ac:dyDescent="0.25">
      <c r="A67" t="s">
        <v>30</v>
      </c>
      <c r="B67" t="s">
        <v>31</v>
      </c>
      <c r="C67" t="str">
        <f t="shared" si="1"/>
        <v>NF15_S1</v>
      </c>
      <c r="D67" t="s">
        <v>975</v>
      </c>
      <c r="E67">
        <v>1</v>
      </c>
      <c r="F67" t="s">
        <v>976</v>
      </c>
      <c r="G67" t="s">
        <v>54</v>
      </c>
      <c r="H67" t="s">
        <v>820</v>
      </c>
      <c r="I67" t="s">
        <v>36</v>
      </c>
      <c r="J67">
        <v>28</v>
      </c>
      <c r="K67">
        <v>0</v>
      </c>
      <c r="L67" t="s">
        <v>5</v>
      </c>
      <c r="M67" t="s">
        <v>37</v>
      </c>
      <c r="N67" t="s">
        <v>977</v>
      </c>
      <c r="O67" t="s">
        <v>978</v>
      </c>
      <c r="P67" t="s">
        <v>37</v>
      </c>
    </row>
    <row r="68" spans="1:16" x14ac:dyDescent="0.25">
      <c r="A68" t="s">
        <v>30</v>
      </c>
      <c r="B68" t="s">
        <v>31</v>
      </c>
      <c r="C68" t="str">
        <f t="shared" si="1"/>
        <v>NF15_S2</v>
      </c>
      <c r="D68" t="s">
        <v>975</v>
      </c>
      <c r="E68">
        <v>2</v>
      </c>
      <c r="F68" t="s">
        <v>976</v>
      </c>
      <c r="G68" t="s">
        <v>979</v>
      </c>
      <c r="H68" t="s">
        <v>820</v>
      </c>
      <c r="I68" t="s">
        <v>36</v>
      </c>
      <c r="J68">
        <v>28</v>
      </c>
      <c r="K68">
        <v>200</v>
      </c>
      <c r="L68" t="s">
        <v>5</v>
      </c>
      <c r="M68" t="s">
        <v>37</v>
      </c>
      <c r="N68" t="s">
        <v>980</v>
      </c>
      <c r="O68" t="s">
        <v>978</v>
      </c>
      <c r="P68" t="s">
        <v>37</v>
      </c>
    </row>
    <row r="69" spans="1:16" x14ac:dyDescent="0.25">
      <c r="A69" t="s">
        <v>30</v>
      </c>
      <c r="B69" t="s">
        <v>31</v>
      </c>
      <c r="C69" t="str">
        <f t="shared" si="1"/>
        <v>NF15_S3</v>
      </c>
      <c r="D69" t="s">
        <v>975</v>
      </c>
      <c r="E69">
        <v>3</v>
      </c>
      <c r="F69" t="s">
        <v>976</v>
      </c>
      <c r="G69" t="s">
        <v>981</v>
      </c>
      <c r="H69" t="s">
        <v>820</v>
      </c>
      <c r="I69" t="s">
        <v>36</v>
      </c>
      <c r="J69">
        <v>28</v>
      </c>
      <c r="K69">
        <v>200</v>
      </c>
      <c r="L69" t="s">
        <v>5</v>
      </c>
      <c r="M69" t="s">
        <v>37</v>
      </c>
      <c r="N69" t="s">
        <v>982</v>
      </c>
      <c r="O69" t="s">
        <v>37</v>
      </c>
      <c r="P69" t="s">
        <v>37</v>
      </c>
    </row>
    <row r="70" spans="1:16" x14ac:dyDescent="0.25">
      <c r="A70" t="s">
        <v>30</v>
      </c>
      <c r="B70" t="s">
        <v>31</v>
      </c>
      <c r="C70" t="str">
        <f t="shared" si="1"/>
        <v>NF15_S4</v>
      </c>
      <c r="D70" t="s">
        <v>975</v>
      </c>
      <c r="E70">
        <v>4</v>
      </c>
      <c r="F70" t="s">
        <v>976</v>
      </c>
      <c r="G70" t="s">
        <v>49</v>
      </c>
      <c r="H70" t="s">
        <v>820</v>
      </c>
      <c r="I70" t="s">
        <v>36</v>
      </c>
      <c r="J70">
        <v>28</v>
      </c>
      <c r="K70">
        <v>300</v>
      </c>
      <c r="L70" t="s">
        <v>5</v>
      </c>
      <c r="M70" t="s">
        <v>37</v>
      </c>
      <c r="N70" t="s">
        <v>983</v>
      </c>
      <c r="O70" t="s">
        <v>37</v>
      </c>
      <c r="P70" t="s">
        <v>37</v>
      </c>
    </row>
    <row r="71" spans="1:16" x14ac:dyDescent="0.25">
      <c r="A71" t="s">
        <v>30</v>
      </c>
      <c r="B71" t="s">
        <v>31</v>
      </c>
      <c r="C71" t="str">
        <f t="shared" si="1"/>
        <v>NF16_S1</v>
      </c>
      <c r="D71" t="s">
        <v>984</v>
      </c>
      <c r="E71">
        <v>1</v>
      </c>
      <c r="F71" t="s">
        <v>985</v>
      </c>
      <c r="G71" t="s">
        <v>54</v>
      </c>
      <c r="H71" t="s">
        <v>820</v>
      </c>
      <c r="I71" t="s">
        <v>36</v>
      </c>
      <c r="J71">
        <v>28</v>
      </c>
      <c r="K71">
        <v>0</v>
      </c>
      <c r="L71" t="s">
        <v>5</v>
      </c>
      <c r="M71" t="s">
        <v>37</v>
      </c>
      <c r="N71" t="s">
        <v>986</v>
      </c>
      <c r="O71" t="s">
        <v>987</v>
      </c>
      <c r="P71" t="s">
        <v>37</v>
      </c>
    </row>
    <row r="72" spans="1:16" x14ac:dyDescent="0.25">
      <c r="A72" t="s">
        <v>30</v>
      </c>
      <c r="B72" t="s">
        <v>31</v>
      </c>
      <c r="C72" t="str">
        <f t="shared" si="1"/>
        <v>NF16_S2</v>
      </c>
      <c r="D72" t="s">
        <v>984</v>
      </c>
      <c r="E72">
        <v>2</v>
      </c>
      <c r="F72" t="s">
        <v>985</v>
      </c>
      <c r="G72" t="s">
        <v>49</v>
      </c>
      <c r="H72" t="s">
        <v>820</v>
      </c>
      <c r="I72" t="s">
        <v>36</v>
      </c>
      <c r="J72">
        <v>28</v>
      </c>
      <c r="K72">
        <v>500</v>
      </c>
      <c r="L72" t="s">
        <v>5</v>
      </c>
      <c r="M72" t="s">
        <v>37</v>
      </c>
      <c r="N72" t="s">
        <v>988</v>
      </c>
      <c r="O72" t="s">
        <v>987</v>
      </c>
      <c r="P72" t="s">
        <v>37</v>
      </c>
    </row>
    <row r="73" spans="1:16" x14ac:dyDescent="0.25">
      <c r="A73" t="s">
        <v>30</v>
      </c>
      <c r="B73" t="s">
        <v>31</v>
      </c>
      <c r="C73" t="str">
        <f t="shared" si="1"/>
        <v>NF17_S1</v>
      </c>
      <c r="D73" t="s">
        <v>989</v>
      </c>
      <c r="E73">
        <v>1</v>
      </c>
      <c r="F73" t="s">
        <v>990</v>
      </c>
      <c r="G73" t="s">
        <v>54</v>
      </c>
      <c r="H73" t="s">
        <v>820</v>
      </c>
      <c r="I73" t="s">
        <v>36</v>
      </c>
      <c r="J73">
        <v>28</v>
      </c>
      <c r="K73">
        <v>0</v>
      </c>
      <c r="L73" t="s">
        <v>5</v>
      </c>
      <c r="M73" t="s">
        <v>37</v>
      </c>
      <c r="N73" t="s">
        <v>991</v>
      </c>
      <c r="O73" t="s">
        <v>992</v>
      </c>
      <c r="P73" t="s">
        <v>37</v>
      </c>
    </row>
    <row r="74" spans="1:16" x14ac:dyDescent="0.25">
      <c r="A74" t="s">
        <v>30</v>
      </c>
      <c r="B74" t="s">
        <v>31</v>
      </c>
      <c r="C74" t="str">
        <f t="shared" si="1"/>
        <v>NF17_S2</v>
      </c>
      <c r="D74" t="s">
        <v>989</v>
      </c>
      <c r="E74">
        <v>2</v>
      </c>
      <c r="F74" t="s">
        <v>990</v>
      </c>
      <c r="G74" t="s">
        <v>49</v>
      </c>
      <c r="H74" t="s">
        <v>820</v>
      </c>
      <c r="I74" t="s">
        <v>36</v>
      </c>
      <c r="J74">
        <v>28</v>
      </c>
      <c r="K74">
        <v>300</v>
      </c>
      <c r="L74" t="s">
        <v>5</v>
      </c>
      <c r="M74" t="s">
        <v>37</v>
      </c>
      <c r="N74" t="s">
        <v>993</v>
      </c>
      <c r="O74" t="s">
        <v>992</v>
      </c>
      <c r="P74" t="s">
        <v>37</v>
      </c>
    </row>
    <row r="75" spans="1:16" x14ac:dyDescent="0.25">
      <c r="A75" t="s">
        <v>30</v>
      </c>
      <c r="B75" t="s">
        <v>31</v>
      </c>
      <c r="C75" t="str">
        <f t="shared" si="1"/>
        <v>NF18_S1</v>
      </c>
      <c r="D75" t="s">
        <v>994</v>
      </c>
      <c r="E75">
        <v>1</v>
      </c>
      <c r="F75" t="s">
        <v>995</v>
      </c>
      <c r="G75" t="s">
        <v>54</v>
      </c>
      <c r="H75" t="s">
        <v>820</v>
      </c>
      <c r="I75" t="s">
        <v>36</v>
      </c>
      <c r="J75">
        <v>26</v>
      </c>
      <c r="K75">
        <v>0</v>
      </c>
      <c r="L75" t="s">
        <v>5</v>
      </c>
      <c r="M75" t="s">
        <v>37</v>
      </c>
      <c r="N75" t="s">
        <v>996</v>
      </c>
      <c r="O75" t="s">
        <v>997</v>
      </c>
      <c r="P75" t="s">
        <v>37</v>
      </c>
    </row>
    <row r="76" spans="1:16" x14ac:dyDescent="0.25">
      <c r="A76" t="s">
        <v>30</v>
      </c>
      <c r="B76" t="s">
        <v>31</v>
      </c>
      <c r="C76" t="str">
        <f t="shared" si="1"/>
        <v>NF18_S2</v>
      </c>
      <c r="D76" t="s">
        <v>994</v>
      </c>
      <c r="E76">
        <v>2</v>
      </c>
      <c r="F76" t="s">
        <v>995</v>
      </c>
      <c r="G76" t="s">
        <v>998</v>
      </c>
      <c r="H76" t="s">
        <v>820</v>
      </c>
      <c r="I76" t="s">
        <v>36</v>
      </c>
      <c r="J76">
        <v>26</v>
      </c>
      <c r="K76">
        <v>40</v>
      </c>
      <c r="L76" t="s">
        <v>5</v>
      </c>
      <c r="M76" t="s">
        <v>37</v>
      </c>
      <c r="N76" t="s">
        <v>485</v>
      </c>
      <c r="O76" t="s">
        <v>997</v>
      </c>
      <c r="P76" t="s">
        <v>37</v>
      </c>
    </row>
    <row r="77" spans="1:16" x14ac:dyDescent="0.25">
      <c r="A77" t="s">
        <v>30</v>
      </c>
      <c r="B77" t="s">
        <v>31</v>
      </c>
      <c r="C77" t="str">
        <f t="shared" si="1"/>
        <v>NF18_S3</v>
      </c>
      <c r="D77" t="s">
        <v>994</v>
      </c>
      <c r="E77">
        <v>3</v>
      </c>
      <c r="F77" t="s">
        <v>995</v>
      </c>
      <c r="G77" t="s">
        <v>49</v>
      </c>
      <c r="H77" t="s">
        <v>820</v>
      </c>
      <c r="I77" t="s">
        <v>36</v>
      </c>
      <c r="J77">
        <v>26</v>
      </c>
      <c r="K77">
        <v>200</v>
      </c>
      <c r="L77" t="s">
        <v>5</v>
      </c>
      <c r="M77" t="s">
        <v>37</v>
      </c>
      <c r="N77" t="s">
        <v>999</v>
      </c>
      <c r="O77" t="s">
        <v>37</v>
      </c>
      <c r="P77" t="s">
        <v>37</v>
      </c>
    </row>
    <row r="78" spans="1:16" x14ac:dyDescent="0.25">
      <c r="A78" t="s">
        <v>266</v>
      </c>
      <c r="B78" t="s">
        <v>31</v>
      </c>
      <c r="C78" t="str">
        <f t="shared" si="1"/>
        <v>NZB1NA_S1</v>
      </c>
      <c r="D78" t="s">
        <v>1000</v>
      </c>
      <c r="E78">
        <v>1</v>
      </c>
      <c r="F78" t="s">
        <v>1001</v>
      </c>
      <c r="G78" t="s">
        <v>54</v>
      </c>
      <c r="H78" t="s">
        <v>820</v>
      </c>
      <c r="I78" t="s">
        <v>42</v>
      </c>
      <c r="J78" t="s">
        <v>37</v>
      </c>
      <c r="K78">
        <v>0</v>
      </c>
      <c r="L78" t="s">
        <v>12</v>
      </c>
      <c r="M78" t="s">
        <v>37</v>
      </c>
      <c r="N78" t="s">
        <v>127</v>
      </c>
      <c r="O78" t="s">
        <v>1002</v>
      </c>
      <c r="P78" t="s">
        <v>37</v>
      </c>
    </row>
    <row r="79" spans="1:16" x14ac:dyDescent="0.25">
      <c r="A79" t="s">
        <v>266</v>
      </c>
      <c r="B79" t="s">
        <v>31</v>
      </c>
      <c r="C79" t="str">
        <f t="shared" si="1"/>
        <v>NZB1NA_S2</v>
      </c>
      <c r="D79" t="s">
        <v>1000</v>
      </c>
      <c r="E79">
        <v>2</v>
      </c>
      <c r="F79" t="s">
        <v>1001</v>
      </c>
      <c r="G79" t="s">
        <v>1003</v>
      </c>
      <c r="H79" t="s">
        <v>820</v>
      </c>
      <c r="I79" t="s">
        <v>42</v>
      </c>
      <c r="J79" t="s">
        <v>37</v>
      </c>
      <c r="K79">
        <v>5</v>
      </c>
      <c r="L79" t="s">
        <v>12</v>
      </c>
      <c r="M79" t="s">
        <v>37</v>
      </c>
      <c r="N79" t="s">
        <v>1004</v>
      </c>
      <c r="O79" t="s">
        <v>1002</v>
      </c>
      <c r="P79" t="s">
        <v>37</v>
      </c>
    </row>
    <row r="80" spans="1:16" x14ac:dyDescent="0.25">
      <c r="A80" t="s">
        <v>266</v>
      </c>
      <c r="B80" t="s">
        <v>31</v>
      </c>
      <c r="C80" t="str">
        <f t="shared" si="1"/>
        <v>NZB1NA_S3</v>
      </c>
      <c r="D80" t="s">
        <v>1000</v>
      </c>
      <c r="E80">
        <v>3</v>
      </c>
      <c r="F80" t="s">
        <v>1001</v>
      </c>
      <c r="G80" t="s">
        <v>1005</v>
      </c>
      <c r="H80" t="s">
        <v>820</v>
      </c>
      <c r="I80" t="s">
        <v>42</v>
      </c>
      <c r="J80" t="s">
        <v>37</v>
      </c>
      <c r="K80">
        <v>10</v>
      </c>
      <c r="L80" t="s">
        <v>12</v>
      </c>
      <c r="M80" t="s">
        <v>37</v>
      </c>
      <c r="N80" t="s">
        <v>1006</v>
      </c>
      <c r="O80" t="s">
        <v>37</v>
      </c>
      <c r="P80" t="s">
        <v>37</v>
      </c>
    </row>
    <row r="81" spans="1:16" x14ac:dyDescent="0.25">
      <c r="A81" t="s">
        <v>266</v>
      </c>
      <c r="B81" t="s">
        <v>31</v>
      </c>
      <c r="C81" t="str">
        <f t="shared" si="1"/>
        <v>NZB1NA_S4</v>
      </c>
      <c r="D81" t="s">
        <v>1000</v>
      </c>
      <c r="E81">
        <v>4</v>
      </c>
      <c r="F81" t="s">
        <v>1001</v>
      </c>
      <c r="G81" t="s">
        <v>1007</v>
      </c>
      <c r="H81" t="s">
        <v>820</v>
      </c>
      <c r="I81" t="s">
        <v>42</v>
      </c>
      <c r="J81" t="s">
        <v>37</v>
      </c>
      <c r="K81">
        <v>40</v>
      </c>
      <c r="L81" t="s">
        <v>12</v>
      </c>
      <c r="M81" t="s">
        <v>37</v>
      </c>
      <c r="N81" t="s">
        <v>1008</v>
      </c>
      <c r="O81" t="s">
        <v>37</v>
      </c>
      <c r="P81" t="s">
        <v>37</v>
      </c>
    </row>
    <row r="82" spans="1:16" x14ac:dyDescent="0.25">
      <c r="A82" t="s">
        <v>266</v>
      </c>
      <c r="B82" t="s">
        <v>31</v>
      </c>
      <c r="C82" t="str">
        <f t="shared" si="1"/>
        <v>NZB1NA_S5</v>
      </c>
      <c r="D82" t="s">
        <v>1000</v>
      </c>
      <c r="E82">
        <v>5</v>
      </c>
      <c r="F82" t="s">
        <v>1001</v>
      </c>
      <c r="G82" t="s">
        <v>49</v>
      </c>
      <c r="H82" t="s">
        <v>820</v>
      </c>
      <c r="I82" t="s">
        <v>42</v>
      </c>
      <c r="J82" t="s">
        <v>37</v>
      </c>
      <c r="K82">
        <v>50</v>
      </c>
      <c r="L82" t="s">
        <v>12</v>
      </c>
      <c r="M82" t="s">
        <v>37</v>
      </c>
      <c r="N82" t="s">
        <v>1009</v>
      </c>
      <c r="O82" t="s">
        <v>37</v>
      </c>
      <c r="P82" t="s">
        <v>37</v>
      </c>
    </row>
    <row r="83" spans="1:16" x14ac:dyDescent="0.25">
      <c r="A83" t="s">
        <v>266</v>
      </c>
      <c r="B83" t="s">
        <v>31</v>
      </c>
      <c r="C83" t="str">
        <f t="shared" si="1"/>
        <v>NZB3NA_S1</v>
      </c>
      <c r="D83" t="s">
        <v>1010</v>
      </c>
      <c r="E83">
        <v>1</v>
      </c>
      <c r="F83" t="s">
        <v>1011</v>
      </c>
      <c r="G83" t="s">
        <v>54</v>
      </c>
      <c r="H83" t="s">
        <v>820</v>
      </c>
      <c r="I83" t="s">
        <v>42</v>
      </c>
      <c r="J83" t="s">
        <v>37</v>
      </c>
      <c r="K83">
        <v>0</v>
      </c>
      <c r="L83" t="s">
        <v>12</v>
      </c>
      <c r="M83" t="s">
        <v>37</v>
      </c>
      <c r="N83" t="s">
        <v>127</v>
      </c>
      <c r="O83" t="s">
        <v>1012</v>
      </c>
      <c r="P83" t="s">
        <v>37</v>
      </c>
    </row>
    <row r="84" spans="1:16" x14ac:dyDescent="0.25">
      <c r="A84" t="s">
        <v>266</v>
      </c>
      <c r="B84" t="s">
        <v>31</v>
      </c>
      <c r="C84" t="str">
        <f t="shared" si="1"/>
        <v>NZB3NA_S2</v>
      </c>
      <c r="D84" t="s">
        <v>1010</v>
      </c>
      <c r="E84">
        <v>2</v>
      </c>
      <c r="F84" t="s">
        <v>1011</v>
      </c>
      <c r="G84" t="s">
        <v>1013</v>
      </c>
      <c r="H84" t="s">
        <v>820</v>
      </c>
      <c r="I84" t="s">
        <v>42</v>
      </c>
      <c r="J84" t="s">
        <v>37</v>
      </c>
      <c r="K84">
        <v>25</v>
      </c>
      <c r="L84" t="s">
        <v>12</v>
      </c>
      <c r="M84" t="s">
        <v>37</v>
      </c>
      <c r="N84" t="s">
        <v>1014</v>
      </c>
      <c r="O84" t="s">
        <v>1012</v>
      </c>
      <c r="P84" t="s">
        <v>37</v>
      </c>
    </row>
    <row r="85" spans="1:16" x14ac:dyDescent="0.25">
      <c r="A85" t="s">
        <v>266</v>
      </c>
      <c r="B85" t="s">
        <v>31</v>
      </c>
      <c r="C85" t="str">
        <f t="shared" si="1"/>
        <v>NZB4NA_S1</v>
      </c>
      <c r="D85" t="s">
        <v>1015</v>
      </c>
      <c r="E85">
        <v>1</v>
      </c>
      <c r="F85" t="s">
        <v>1016</v>
      </c>
      <c r="G85" t="s">
        <v>54</v>
      </c>
      <c r="H85" t="s">
        <v>820</v>
      </c>
      <c r="I85" t="s">
        <v>42</v>
      </c>
      <c r="J85" t="s">
        <v>37</v>
      </c>
      <c r="K85">
        <v>0</v>
      </c>
      <c r="L85" t="s">
        <v>12</v>
      </c>
      <c r="M85" t="s">
        <v>37</v>
      </c>
      <c r="N85" t="s">
        <v>127</v>
      </c>
      <c r="O85" t="s">
        <v>1017</v>
      </c>
      <c r="P85" t="s">
        <v>37</v>
      </c>
    </row>
    <row r="86" spans="1:16" x14ac:dyDescent="0.25">
      <c r="A86" t="s">
        <v>266</v>
      </c>
      <c r="B86" t="s">
        <v>31</v>
      </c>
      <c r="C86" t="str">
        <f t="shared" si="1"/>
        <v>NZB4NA_S2</v>
      </c>
      <c r="D86" t="s">
        <v>1015</v>
      </c>
      <c r="E86">
        <v>2</v>
      </c>
      <c r="F86" t="s">
        <v>1016</v>
      </c>
      <c r="G86" t="s">
        <v>1018</v>
      </c>
      <c r="H86" t="s">
        <v>820</v>
      </c>
      <c r="I86" t="s">
        <v>42</v>
      </c>
      <c r="J86" t="s">
        <v>37</v>
      </c>
      <c r="K86">
        <v>25</v>
      </c>
      <c r="L86" t="s">
        <v>12</v>
      </c>
      <c r="M86" t="s">
        <v>37</v>
      </c>
      <c r="N86" t="s">
        <v>1019</v>
      </c>
      <c r="O86" t="s">
        <v>1017</v>
      </c>
      <c r="P86" t="s">
        <v>37</v>
      </c>
    </row>
    <row r="87" spans="1:16" x14ac:dyDescent="0.25">
      <c r="A87" t="s">
        <v>266</v>
      </c>
      <c r="B87" t="s">
        <v>31</v>
      </c>
      <c r="C87" t="str">
        <f t="shared" si="1"/>
        <v>NZB4NA_S3</v>
      </c>
      <c r="D87" t="s">
        <v>1015</v>
      </c>
      <c r="E87">
        <v>3</v>
      </c>
      <c r="F87" t="s">
        <v>1016</v>
      </c>
      <c r="G87" t="s">
        <v>1020</v>
      </c>
      <c r="H87" t="s">
        <v>820</v>
      </c>
      <c r="I87" t="s">
        <v>42</v>
      </c>
      <c r="J87" t="s">
        <v>37</v>
      </c>
      <c r="K87">
        <v>25</v>
      </c>
      <c r="L87" t="s">
        <v>12</v>
      </c>
      <c r="M87" t="s">
        <v>37</v>
      </c>
      <c r="N87" t="s">
        <v>1021</v>
      </c>
      <c r="O87" t="s">
        <v>37</v>
      </c>
      <c r="P87" t="s">
        <v>37</v>
      </c>
    </row>
    <row r="88" spans="1:16" x14ac:dyDescent="0.25">
      <c r="A88" t="s">
        <v>266</v>
      </c>
      <c r="B88" t="s">
        <v>31</v>
      </c>
      <c r="C88" t="str">
        <f t="shared" si="1"/>
        <v>NZB4NA_S4</v>
      </c>
      <c r="D88" t="s">
        <v>1015</v>
      </c>
      <c r="E88">
        <v>4</v>
      </c>
      <c r="F88" t="s">
        <v>1016</v>
      </c>
      <c r="G88" t="s">
        <v>1022</v>
      </c>
      <c r="H88" t="s">
        <v>820</v>
      </c>
      <c r="I88" t="s">
        <v>42</v>
      </c>
      <c r="J88" t="s">
        <v>37</v>
      </c>
      <c r="K88">
        <v>25</v>
      </c>
      <c r="L88" t="s">
        <v>12</v>
      </c>
      <c r="M88" t="s">
        <v>37</v>
      </c>
      <c r="N88" t="s">
        <v>1023</v>
      </c>
      <c r="O88" t="s">
        <v>37</v>
      </c>
      <c r="P88" t="s">
        <v>37</v>
      </c>
    </row>
    <row r="89" spans="1:16" x14ac:dyDescent="0.25">
      <c r="A89" t="s">
        <v>266</v>
      </c>
      <c r="B89" t="s">
        <v>31</v>
      </c>
      <c r="C89" t="str">
        <f t="shared" si="1"/>
        <v>NZB5NA_S1</v>
      </c>
      <c r="D89" t="s">
        <v>1024</v>
      </c>
      <c r="E89">
        <v>1</v>
      </c>
      <c r="F89" t="s">
        <v>1025</v>
      </c>
      <c r="G89" t="s">
        <v>54</v>
      </c>
      <c r="H89" t="s">
        <v>820</v>
      </c>
      <c r="I89" t="s">
        <v>42</v>
      </c>
      <c r="J89" t="s">
        <v>37</v>
      </c>
      <c r="K89">
        <v>0</v>
      </c>
      <c r="L89" t="s">
        <v>12</v>
      </c>
      <c r="M89" t="s">
        <v>37</v>
      </c>
      <c r="N89" t="s">
        <v>127</v>
      </c>
      <c r="O89" t="s">
        <v>1026</v>
      </c>
      <c r="P89" t="s">
        <v>37</v>
      </c>
    </row>
    <row r="90" spans="1:16" x14ac:dyDescent="0.25">
      <c r="A90" t="s">
        <v>266</v>
      </c>
      <c r="B90" t="s">
        <v>31</v>
      </c>
      <c r="C90" t="str">
        <f t="shared" si="1"/>
        <v>NZB5NA_S2</v>
      </c>
      <c r="D90" t="s">
        <v>1024</v>
      </c>
      <c r="E90">
        <v>2</v>
      </c>
      <c r="F90" t="s">
        <v>1025</v>
      </c>
      <c r="G90" t="s">
        <v>1027</v>
      </c>
      <c r="H90" t="s">
        <v>820</v>
      </c>
      <c r="I90" t="s">
        <v>42</v>
      </c>
      <c r="J90" t="s">
        <v>37</v>
      </c>
      <c r="K90">
        <v>25</v>
      </c>
      <c r="L90" t="s">
        <v>12</v>
      </c>
      <c r="M90" t="s">
        <v>37</v>
      </c>
      <c r="N90" t="s">
        <v>1028</v>
      </c>
      <c r="O90" t="s">
        <v>1026</v>
      </c>
      <c r="P90" t="s">
        <v>37</v>
      </c>
    </row>
    <row r="91" spans="1:16" x14ac:dyDescent="0.25">
      <c r="A91" t="s">
        <v>266</v>
      </c>
      <c r="B91" t="s">
        <v>31</v>
      </c>
      <c r="C91" t="str">
        <f t="shared" si="1"/>
        <v>NZB5NA_S3</v>
      </c>
      <c r="D91" t="s">
        <v>1024</v>
      </c>
      <c r="E91">
        <v>3</v>
      </c>
      <c r="F91" t="s">
        <v>1025</v>
      </c>
      <c r="G91" t="s">
        <v>1029</v>
      </c>
      <c r="H91" t="s">
        <v>820</v>
      </c>
      <c r="I91" t="s">
        <v>42</v>
      </c>
      <c r="J91" t="s">
        <v>37</v>
      </c>
      <c r="K91">
        <v>25</v>
      </c>
      <c r="L91" t="s">
        <v>12</v>
      </c>
      <c r="M91" t="s">
        <v>37</v>
      </c>
      <c r="N91" t="s">
        <v>1030</v>
      </c>
      <c r="O91" t="s">
        <v>37</v>
      </c>
      <c r="P91" t="s">
        <v>37</v>
      </c>
    </row>
    <row r="92" spans="1:16" x14ac:dyDescent="0.25">
      <c r="A92" t="s">
        <v>266</v>
      </c>
      <c r="B92" t="s">
        <v>31</v>
      </c>
      <c r="C92" t="str">
        <f t="shared" si="1"/>
        <v>NZB5NA_S4</v>
      </c>
      <c r="D92" t="s">
        <v>1024</v>
      </c>
      <c r="E92">
        <v>4</v>
      </c>
      <c r="F92" t="s">
        <v>1025</v>
      </c>
      <c r="G92" t="s">
        <v>1031</v>
      </c>
      <c r="H92" t="s">
        <v>820</v>
      </c>
      <c r="I92" t="s">
        <v>42</v>
      </c>
      <c r="J92" t="s">
        <v>37</v>
      </c>
      <c r="K92">
        <v>25</v>
      </c>
      <c r="L92" t="s">
        <v>12</v>
      </c>
      <c r="M92" t="s">
        <v>37</v>
      </c>
      <c r="N92" t="s">
        <v>1032</v>
      </c>
      <c r="O92" t="s">
        <v>37</v>
      </c>
      <c r="P92" t="s">
        <v>37</v>
      </c>
    </row>
    <row r="93" spans="1:16" x14ac:dyDescent="0.25">
      <c r="A93" t="s">
        <v>266</v>
      </c>
      <c r="B93" t="s">
        <v>31</v>
      </c>
      <c r="C93" t="str">
        <f t="shared" si="1"/>
        <v>NZB5NA_S5</v>
      </c>
      <c r="D93" t="s">
        <v>1024</v>
      </c>
      <c r="E93">
        <v>5</v>
      </c>
      <c r="F93" t="s">
        <v>1025</v>
      </c>
      <c r="G93" t="s">
        <v>1033</v>
      </c>
      <c r="H93" t="s">
        <v>820</v>
      </c>
      <c r="I93" t="s">
        <v>42</v>
      </c>
      <c r="J93" t="s">
        <v>37</v>
      </c>
      <c r="K93">
        <v>25</v>
      </c>
      <c r="L93" t="s">
        <v>12</v>
      </c>
      <c r="M93" t="s">
        <v>37</v>
      </c>
      <c r="N93" t="s">
        <v>1034</v>
      </c>
      <c r="O93" t="s">
        <v>37</v>
      </c>
      <c r="P93" t="s">
        <v>37</v>
      </c>
    </row>
    <row r="94" spans="1:16" x14ac:dyDescent="0.25">
      <c r="A94" t="s">
        <v>266</v>
      </c>
      <c r="B94" t="s">
        <v>31</v>
      </c>
      <c r="C94" t="str">
        <f t="shared" si="1"/>
        <v>NZB6NA_S1</v>
      </c>
      <c r="D94" t="s">
        <v>1035</v>
      </c>
      <c r="E94">
        <v>1</v>
      </c>
      <c r="F94" t="s">
        <v>1036</v>
      </c>
      <c r="G94" t="s">
        <v>54</v>
      </c>
      <c r="H94" t="s">
        <v>820</v>
      </c>
      <c r="I94" t="s">
        <v>42</v>
      </c>
      <c r="J94" t="s">
        <v>37</v>
      </c>
      <c r="K94">
        <v>0</v>
      </c>
      <c r="L94" t="s">
        <v>12</v>
      </c>
      <c r="M94" t="s">
        <v>37</v>
      </c>
      <c r="N94" t="s">
        <v>127</v>
      </c>
      <c r="O94" t="s">
        <v>1037</v>
      </c>
      <c r="P94" t="s">
        <v>37</v>
      </c>
    </row>
    <row r="95" spans="1:16" x14ac:dyDescent="0.25">
      <c r="A95" t="s">
        <v>266</v>
      </c>
      <c r="B95" t="s">
        <v>31</v>
      </c>
      <c r="C95" t="str">
        <f t="shared" si="1"/>
        <v>NZB6NA_S2</v>
      </c>
      <c r="D95" t="s">
        <v>1035</v>
      </c>
      <c r="E95">
        <v>2</v>
      </c>
      <c r="F95" t="s">
        <v>1036</v>
      </c>
      <c r="G95" t="s">
        <v>1038</v>
      </c>
      <c r="H95" t="s">
        <v>820</v>
      </c>
      <c r="I95" t="s">
        <v>42</v>
      </c>
      <c r="J95" t="s">
        <v>37</v>
      </c>
      <c r="K95">
        <v>25</v>
      </c>
      <c r="L95" t="s">
        <v>12</v>
      </c>
      <c r="M95" t="s">
        <v>37</v>
      </c>
      <c r="N95" t="s">
        <v>1039</v>
      </c>
      <c r="O95" t="s">
        <v>1037</v>
      </c>
      <c r="P95" t="s">
        <v>37</v>
      </c>
    </row>
    <row r="96" spans="1:16" x14ac:dyDescent="0.25">
      <c r="A96" t="s">
        <v>266</v>
      </c>
      <c r="B96" t="s">
        <v>31</v>
      </c>
      <c r="C96" t="str">
        <f t="shared" si="1"/>
        <v>NZB6NA_S3</v>
      </c>
      <c r="D96" t="s">
        <v>1035</v>
      </c>
      <c r="E96">
        <v>3</v>
      </c>
      <c r="F96" t="s">
        <v>1036</v>
      </c>
      <c r="G96" t="s">
        <v>1040</v>
      </c>
      <c r="H96" t="s">
        <v>820</v>
      </c>
      <c r="I96" t="s">
        <v>42</v>
      </c>
      <c r="J96" t="s">
        <v>37</v>
      </c>
      <c r="K96">
        <v>25</v>
      </c>
      <c r="L96" t="s">
        <v>12</v>
      </c>
      <c r="M96" t="s">
        <v>37</v>
      </c>
      <c r="N96" t="s">
        <v>1041</v>
      </c>
      <c r="O96" t="s">
        <v>37</v>
      </c>
      <c r="P96" t="s">
        <v>37</v>
      </c>
    </row>
    <row r="97" spans="1:16" x14ac:dyDescent="0.25">
      <c r="A97" t="s">
        <v>266</v>
      </c>
      <c r="B97" t="s">
        <v>31</v>
      </c>
      <c r="C97" t="str">
        <f t="shared" si="1"/>
        <v>NZB7NA_S1</v>
      </c>
      <c r="D97" t="s">
        <v>1042</v>
      </c>
      <c r="E97">
        <v>1</v>
      </c>
      <c r="F97" t="s">
        <v>1043</v>
      </c>
      <c r="G97" t="s">
        <v>54</v>
      </c>
      <c r="H97" t="s">
        <v>820</v>
      </c>
      <c r="I97" t="s">
        <v>42</v>
      </c>
      <c r="J97" t="s">
        <v>37</v>
      </c>
      <c r="K97">
        <v>0</v>
      </c>
      <c r="L97" t="s">
        <v>12</v>
      </c>
      <c r="M97" t="s">
        <v>37</v>
      </c>
      <c r="N97" t="s">
        <v>127</v>
      </c>
      <c r="O97" t="s">
        <v>1044</v>
      </c>
      <c r="P97" t="s">
        <v>37</v>
      </c>
    </row>
    <row r="98" spans="1:16" x14ac:dyDescent="0.25">
      <c r="A98" t="s">
        <v>266</v>
      </c>
      <c r="B98" t="s">
        <v>31</v>
      </c>
      <c r="C98" t="str">
        <f t="shared" si="1"/>
        <v>NZB7NA_S2</v>
      </c>
      <c r="D98" t="s">
        <v>1042</v>
      </c>
      <c r="E98">
        <v>2</v>
      </c>
      <c r="F98" t="s">
        <v>1045</v>
      </c>
      <c r="G98" t="s">
        <v>1046</v>
      </c>
      <c r="H98" t="s">
        <v>820</v>
      </c>
      <c r="I98" t="s">
        <v>42</v>
      </c>
      <c r="J98" t="s">
        <v>37</v>
      </c>
      <c r="K98">
        <v>25</v>
      </c>
      <c r="L98" t="s">
        <v>12</v>
      </c>
      <c r="M98" t="s">
        <v>37</v>
      </c>
      <c r="N98" t="s">
        <v>1047</v>
      </c>
      <c r="O98" t="s">
        <v>1044</v>
      </c>
      <c r="P98" t="s">
        <v>37</v>
      </c>
    </row>
    <row r="99" spans="1:16" x14ac:dyDescent="0.25">
      <c r="A99" t="s">
        <v>266</v>
      </c>
      <c r="B99" t="s">
        <v>31</v>
      </c>
      <c r="C99" t="str">
        <f t="shared" si="1"/>
        <v>NZB8NA_S1</v>
      </c>
      <c r="D99" t="s">
        <v>1048</v>
      </c>
      <c r="E99">
        <v>1</v>
      </c>
      <c r="F99" t="s">
        <v>1049</v>
      </c>
      <c r="G99" t="s">
        <v>54</v>
      </c>
      <c r="H99" t="s">
        <v>820</v>
      </c>
      <c r="I99" t="s">
        <v>42</v>
      </c>
      <c r="J99" t="s">
        <v>37</v>
      </c>
      <c r="K99">
        <v>0</v>
      </c>
      <c r="L99" t="s">
        <v>12</v>
      </c>
      <c r="M99" t="s">
        <v>37</v>
      </c>
      <c r="N99" t="s">
        <v>127</v>
      </c>
      <c r="O99" t="s">
        <v>1050</v>
      </c>
      <c r="P99" t="s">
        <v>37</v>
      </c>
    </row>
    <row r="100" spans="1:16" x14ac:dyDescent="0.25">
      <c r="A100" t="s">
        <v>266</v>
      </c>
      <c r="B100" t="s">
        <v>31</v>
      </c>
      <c r="C100" t="str">
        <f t="shared" si="1"/>
        <v>NZB8NA_S2a</v>
      </c>
      <c r="D100" t="s">
        <v>1048</v>
      </c>
      <c r="E100" t="s">
        <v>72</v>
      </c>
      <c r="F100" t="s">
        <v>1049</v>
      </c>
      <c r="G100" t="s">
        <v>1051</v>
      </c>
      <c r="H100" t="s">
        <v>820</v>
      </c>
      <c r="I100" t="s">
        <v>42</v>
      </c>
      <c r="J100" t="s">
        <v>37</v>
      </c>
      <c r="K100">
        <v>10</v>
      </c>
      <c r="L100" t="s">
        <v>12</v>
      </c>
      <c r="M100" t="s">
        <v>37</v>
      </c>
      <c r="N100" t="s">
        <v>1052</v>
      </c>
      <c r="O100" t="s">
        <v>1050</v>
      </c>
      <c r="P100" t="s">
        <v>1053</v>
      </c>
    </row>
    <row r="101" spans="1:16" x14ac:dyDescent="0.25">
      <c r="A101" t="s">
        <v>266</v>
      </c>
      <c r="B101" t="s">
        <v>31</v>
      </c>
      <c r="C101" t="str">
        <f t="shared" si="1"/>
        <v>NZB8NA_S2b</v>
      </c>
      <c r="D101" t="s">
        <v>1048</v>
      </c>
      <c r="E101" t="s">
        <v>75</v>
      </c>
      <c r="F101" t="s">
        <v>1049</v>
      </c>
      <c r="G101" t="s">
        <v>1054</v>
      </c>
      <c r="H101" t="s">
        <v>820</v>
      </c>
      <c r="I101" t="s">
        <v>42</v>
      </c>
      <c r="J101" t="s">
        <v>37</v>
      </c>
      <c r="K101">
        <v>40</v>
      </c>
      <c r="L101" t="s">
        <v>12</v>
      </c>
      <c r="M101" t="s">
        <v>37</v>
      </c>
      <c r="N101" t="s">
        <v>1052</v>
      </c>
      <c r="O101" t="s">
        <v>1050</v>
      </c>
      <c r="P101" t="s">
        <v>1055</v>
      </c>
    </row>
    <row r="102" spans="1:16" x14ac:dyDescent="0.25">
      <c r="A102" t="s">
        <v>266</v>
      </c>
      <c r="B102" t="s">
        <v>31</v>
      </c>
      <c r="C102" t="str">
        <f t="shared" si="1"/>
        <v>NZB9NA_S1</v>
      </c>
      <c r="D102" t="s">
        <v>1056</v>
      </c>
      <c r="E102">
        <v>1</v>
      </c>
      <c r="F102" t="s">
        <v>1043</v>
      </c>
      <c r="G102" t="s">
        <v>54</v>
      </c>
      <c r="H102" t="s">
        <v>820</v>
      </c>
      <c r="I102" t="s">
        <v>42</v>
      </c>
      <c r="J102" t="s">
        <v>37</v>
      </c>
      <c r="K102">
        <v>0</v>
      </c>
      <c r="L102" t="s">
        <v>12</v>
      </c>
      <c r="M102" t="s">
        <v>37</v>
      </c>
      <c r="N102" t="s">
        <v>127</v>
      </c>
      <c r="O102" t="s">
        <v>1057</v>
      </c>
      <c r="P102" t="s">
        <v>37</v>
      </c>
    </row>
    <row r="103" spans="1:16" x14ac:dyDescent="0.25">
      <c r="A103" t="s">
        <v>266</v>
      </c>
      <c r="B103" t="s">
        <v>31</v>
      </c>
      <c r="C103" t="str">
        <f t="shared" si="1"/>
        <v>NZB9NA_S2</v>
      </c>
      <c r="D103" t="s">
        <v>1056</v>
      </c>
      <c r="E103">
        <v>2</v>
      </c>
      <c r="F103" t="s">
        <v>1058</v>
      </c>
      <c r="G103" t="s">
        <v>1059</v>
      </c>
      <c r="H103" t="s">
        <v>820</v>
      </c>
      <c r="I103" t="s">
        <v>42</v>
      </c>
      <c r="J103" t="s">
        <v>37</v>
      </c>
      <c r="K103">
        <v>50</v>
      </c>
      <c r="L103" t="s">
        <v>12</v>
      </c>
      <c r="M103" t="s">
        <v>37</v>
      </c>
      <c r="N103" t="s">
        <v>1060</v>
      </c>
      <c r="O103" t="s">
        <v>1057</v>
      </c>
      <c r="P103" t="s">
        <v>37</v>
      </c>
    </row>
    <row r="104" spans="1:16" x14ac:dyDescent="0.25">
      <c r="A104" t="s">
        <v>266</v>
      </c>
      <c r="B104" t="s">
        <v>31</v>
      </c>
      <c r="C104" t="str">
        <f t="shared" si="1"/>
        <v>NZB10NA_S1</v>
      </c>
      <c r="D104" t="s">
        <v>1061</v>
      </c>
      <c r="E104">
        <v>1</v>
      </c>
      <c r="F104" t="s">
        <v>1062</v>
      </c>
      <c r="G104" t="s">
        <v>54</v>
      </c>
      <c r="H104" t="s">
        <v>820</v>
      </c>
      <c r="I104" t="s">
        <v>42</v>
      </c>
      <c r="J104" t="s">
        <v>37</v>
      </c>
      <c r="K104">
        <v>0</v>
      </c>
      <c r="L104" t="s">
        <v>12</v>
      </c>
      <c r="M104" t="s">
        <v>37</v>
      </c>
      <c r="N104" t="s">
        <v>127</v>
      </c>
      <c r="O104" t="s">
        <v>1063</v>
      </c>
      <c r="P104" t="s">
        <v>37</v>
      </c>
    </row>
    <row r="105" spans="1:16" x14ac:dyDescent="0.25">
      <c r="A105" t="s">
        <v>266</v>
      </c>
      <c r="B105" t="s">
        <v>31</v>
      </c>
      <c r="C105" t="str">
        <f t="shared" si="1"/>
        <v>NZB10NA_S2</v>
      </c>
      <c r="D105" t="s">
        <v>1061</v>
      </c>
      <c r="E105">
        <v>2</v>
      </c>
      <c r="F105" t="s">
        <v>1062</v>
      </c>
      <c r="G105" t="s">
        <v>49</v>
      </c>
      <c r="H105" t="s">
        <v>820</v>
      </c>
      <c r="I105" t="s">
        <v>42</v>
      </c>
      <c r="J105" t="s">
        <v>37</v>
      </c>
      <c r="K105">
        <v>25</v>
      </c>
      <c r="L105" t="s">
        <v>12</v>
      </c>
      <c r="M105" t="s">
        <v>37</v>
      </c>
      <c r="N105" t="s">
        <v>1064</v>
      </c>
      <c r="O105" t="s">
        <v>1063</v>
      </c>
      <c r="P105" t="s">
        <v>37</v>
      </c>
    </row>
    <row r="106" spans="1:16" x14ac:dyDescent="0.25">
      <c r="A106" t="s">
        <v>266</v>
      </c>
      <c r="B106" t="s">
        <v>31</v>
      </c>
      <c r="C106" t="str">
        <f t="shared" si="1"/>
        <v>NZB11NA_S1</v>
      </c>
      <c r="D106" t="s">
        <v>1065</v>
      </c>
      <c r="E106">
        <v>1</v>
      </c>
      <c r="F106" t="s">
        <v>1066</v>
      </c>
      <c r="G106" t="s">
        <v>54</v>
      </c>
      <c r="H106" t="s">
        <v>820</v>
      </c>
      <c r="I106" t="s">
        <v>42</v>
      </c>
      <c r="J106" t="s">
        <v>37</v>
      </c>
      <c r="K106">
        <v>0</v>
      </c>
      <c r="L106" t="s">
        <v>12</v>
      </c>
      <c r="M106" t="s">
        <v>37</v>
      </c>
      <c r="N106" t="s">
        <v>127</v>
      </c>
      <c r="O106" t="s">
        <v>1067</v>
      </c>
      <c r="P106" t="s">
        <v>37</v>
      </c>
    </row>
    <row r="107" spans="1:16" x14ac:dyDescent="0.25">
      <c r="A107" t="s">
        <v>266</v>
      </c>
      <c r="B107" t="s">
        <v>31</v>
      </c>
      <c r="C107" t="str">
        <f t="shared" si="1"/>
        <v>NZB11NA_S2</v>
      </c>
      <c r="D107" t="s">
        <v>1065</v>
      </c>
      <c r="E107">
        <v>2</v>
      </c>
      <c r="F107" t="s">
        <v>1066</v>
      </c>
      <c r="G107" t="s">
        <v>49</v>
      </c>
      <c r="H107" t="s">
        <v>820</v>
      </c>
      <c r="I107" t="s">
        <v>42</v>
      </c>
      <c r="J107" t="s">
        <v>37</v>
      </c>
      <c r="K107">
        <v>0</v>
      </c>
      <c r="L107" t="s">
        <v>12</v>
      </c>
      <c r="M107" t="s">
        <v>37</v>
      </c>
      <c r="N107" t="s">
        <v>1068</v>
      </c>
      <c r="O107" t="s">
        <v>1067</v>
      </c>
      <c r="P107" t="s">
        <v>37</v>
      </c>
    </row>
    <row r="108" spans="1:16" x14ac:dyDescent="0.25">
      <c r="A108" t="s">
        <v>266</v>
      </c>
      <c r="B108" t="s">
        <v>31</v>
      </c>
      <c r="C108" t="str">
        <f t="shared" si="1"/>
        <v>NZB12NA_S1</v>
      </c>
      <c r="D108" t="s">
        <v>1069</v>
      </c>
      <c r="E108">
        <v>1</v>
      </c>
      <c r="F108" t="s">
        <v>1070</v>
      </c>
      <c r="G108" t="s">
        <v>54</v>
      </c>
      <c r="H108" t="s">
        <v>820</v>
      </c>
      <c r="I108" t="s">
        <v>42</v>
      </c>
      <c r="J108" t="s">
        <v>37</v>
      </c>
      <c r="K108">
        <v>0</v>
      </c>
      <c r="L108" t="s">
        <v>12</v>
      </c>
      <c r="M108" t="s">
        <v>37</v>
      </c>
      <c r="N108" t="s">
        <v>127</v>
      </c>
      <c r="O108" t="s">
        <v>1071</v>
      </c>
      <c r="P108" t="s">
        <v>37</v>
      </c>
    </row>
    <row r="109" spans="1:16" x14ac:dyDescent="0.25">
      <c r="A109" t="s">
        <v>266</v>
      </c>
      <c r="B109" t="s">
        <v>31</v>
      </c>
      <c r="C109" t="str">
        <f t="shared" si="1"/>
        <v>NZB12NA_S2</v>
      </c>
      <c r="D109" t="s">
        <v>1069</v>
      </c>
      <c r="E109">
        <v>2</v>
      </c>
      <c r="F109" t="s">
        <v>1070</v>
      </c>
      <c r="G109" t="s">
        <v>49</v>
      </c>
      <c r="H109" t="s">
        <v>820</v>
      </c>
      <c r="I109" t="s">
        <v>42</v>
      </c>
      <c r="J109" t="s">
        <v>37</v>
      </c>
      <c r="K109">
        <v>25</v>
      </c>
      <c r="L109" t="s">
        <v>12</v>
      </c>
      <c r="M109" t="s">
        <v>37</v>
      </c>
      <c r="N109" t="s">
        <v>1072</v>
      </c>
      <c r="O109" t="s">
        <v>1071</v>
      </c>
      <c r="P109" t="s">
        <v>37</v>
      </c>
    </row>
    <row r="110" spans="1:16" x14ac:dyDescent="0.25">
      <c r="A110" t="s">
        <v>266</v>
      </c>
      <c r="B110" t="s">
        <v>31</v>
      </c>
      <c r="C110" t="str">
        <f t="shared" si="1"/>
        <v>NZB13NA_S1</v>
      </c>
      <c r="D110" t="s">
        <v>1073</v>
      </c>
      <c r="E110">
        <v>1</v>
      </c>
      <c r="F110" t="s">
        <v>1074</v>
      </c>
      <c r="G110" t="s">
        <v>54</v>
      </c>
      <c r="H110" t="s">
        <v>820</v>
      </c>
      <c r="I110" t="s">
        <v>42</v>
      </c>
      <c r="J110" t="s">
        <v>37</v>
      </c>
      <c r="K110">
        <v>0</v>
      </c>
      <c r="L110" t="s">
        <v>12</v>
      </c>
      <c r="M110" t="s">
        <v>37</v>
      </c>
      <c r="N110" t="s">
        <v>127</v>
      </c>
      <c r="O110" t="s">
        <v>1075</v>
      </c>
      <c r="P110" t="s">
        <v>37</v>
      </c>
    </row>
    <row r="111" spans="1:16" x14ac:dyDescent="0.25">
      <c r="A111" t="s">
        <v>266</v>
      </c>
      <c r="B111" t="s">
        <v>31</v>
      </c>
      <c r="C111" t="str">
        <f t="shared" si="1"/>
        <v>NZB13NA_S2a</v>
      </c>
      <c r="D111" t="s">
        <v>1073</v>
      </c>
      <c r="E111" t="s">
        <v>72</v>
      </c>
      <c r="F111" t="s">
        <v>1074</v>
      </c>
      <c r="G111" t="s">
        <v>1076</v>
      </c>
      <c r="H111" t="s">
        <v>820</v>
      </c>
      <c r="I111" t="s">
        <v>42</v>
      </c>
      <c r="J111" t="s">
        <v>37</v>
      </c>
      <c r="K111">
        <v>30</v>
      </c>
      <c r="L111" t="s">
        <v>12</v>
      </c>
      <c r="M111" t="s">
        <v>37</v>
      </c>
      <c r="N111" t="s">
        <v>1077</v>
      </c>
      <c r="O111" t="s">
        <v>1075</v>
      </c>
      <c r="P111" t="s">
        <v>1078</v>
      </c>
    </row>
    <row r="112" spans="1:16" x14ac:dyDescent="0.25">
      <c r="A112" t="s">
        <v>266</v>
      </c>
      <c r="B112" t="s">
        <v>31</v>
      </c>
      <c r="C112" t="str">
        <f t="shared" si="1"/>
        <v>NZB13NA_S2b</v>
      </c>
      <c r="D112" t="s">
        <v>1073</v>
      </c>
      <c r="E112" t="s">
        <v>75</v>
      </c>
      <c r="F112" t="s">
        <v>1074</v>
      </c>
      <c r="G112" t="s">
        <v>1079</v>
      </c>
      <c r="H112" t="s">
        <v>820</v>
      </c>
      <c r="I112" t="s">
        <v>42</v>
      </c>
      <c r="J112" t="s">
        <v>37</v>
      </c>
      <c r="K112">
        <v>65</v>
      </c>
      <c r="L112" t="s">
        <v>12</v>
      </c>
      <c r="M112" t="s">
        <v>37</v>
      </c>
      <c r="N112" t="s">
        <v>1077</v>
      </c>
      <c r="O112" t="s">
        <v>1075</v>
      </c>
      <c r="P112" t="s">
        <v>1080</v>
      </c>
    </row>
    <row r="113" spans="1:16" x14ac:dyDescent="0.25">
      <c r="A113" t="s">
        <v>266</v>
      </c>
      <c r="B113" t="s">
        <v>31</v>
      </c>
      <c r="C113" t="str">
        <f t="shared" si="1"/>
        <v>NZB14NA_S1</v>
      </c>
      <c r="D113" t="s">
        <v>1081</v>
      </c>
      <c r="E113">
        <v>1</v>
      </c>
      <c r="F113" t="s">
        <v>1082</v>
      </c>
      <c r="G113" t="s">
        <v>54</v>
      </c>
      <c r="H113" t="s">
        <v>820</v>
      </c>
      <c r="I113" t="s">
        <v>42</v>
      </c>
      <c r="J113" t="s">
        <v>37</v>
      </c>
      <c r="K113">
        <v>0</v>
      </c>
      <c r="L113" t="s">
        <v>12</v>
      </c>
      <c r="M113" t="s">
        <v>37</v>
      </c>
      <c r="N113" t="s">
        <v>127</v>
      </c>
      <c r="O113" t="s">
        <v>1083</v>
      </c>
      <c r="P113" t="s">
        <v>37</v>
      </c>
    </row>
    <row r="114" spans="1:16" x14ac:dyDescent="0.25">
      <c r="A114" t="s">
        <v>266</v>
      </c>
      <c r="B114" t="s">
        <v>31</v>
      </c>
      <c r="C114" t="str">
        <f t="shared" si="1"/>
        <v>NZB14NA_S2</v>
      </c>
      <c r="D114" t="s">
        <v>1081</v>
      </c>
      <c r="E114">
        <v>2</v>
      </c>
      <c r="F114" t="s">
        <v>1082</v>
      </c>
      <c r="G114" t="s">
        <v>1084</v>
      </c>
      <c r="H114" t="s">
        <v>820</v>
      </c>
      <c r="I114" t="s">
        <v>42</v>
      </c>
      <c r="J114" t="s">
        <v>37</v>
      </c>
      <c r="K114">
        <v>10</v>
      </c>
      <c r="L114" t="s">
        <v>12</v>
      </c>
      <c r="M114" t="s">
        <v>37</v>
      </c>
      <c r="N114" t="s">
        <v>1085</v>
      </c>
      <c r="O114" t="s">
        <v>1083</v>
      </c>
      <c r="P114" t="s">
        <v>37</v>
      </c>
    </row>
    <row r="115" spans="1:16" x14ac:dyDescent="0.25">
      <c r="A115" t="s">
        <v>266</v>
      </c>
      <c r="B115" t="s">
        <v>31</v>
      </c>
      <c r="C115" t="str">
        <f t="shared" si="1"/>
        <v>NZB14NA_S3</v>
      </c>
      <c r="D115" t="s">
        <v>1081</v>
      </c>
      <c r="E115">
        <v>3</v>
      </c>
      <c r="F115" t="s">
        <v>1082</v>
      </c>
      <c r="G115" t="s">
        <v>1086</v>
      </c>
      <c r="H115" t="s">
        <v>820</v>
      </c>
      <c r="I115" t="s">
        <v>42</v>
      </c>
      <c r="J115" t="s">
        <v>37</v>
      </c>
      <c r="K115">
        <v>25</v>
      </c>
      <c r="L115" t="s">
        <v>12</v>
      </c>
      <c r="M115" t="s">
        <v>37</v>
      </c>
      <c r="N115" t="s">
        <v>1087</v>
      </c>
      <c r="O115" t="s">
        <v>37</v>
      </c>
      <c r="P115" t="s">
        <v>37</v>
      </c>
    </row>
    <row r="116" spans="1:16" x14ac:dyDescent="0.25">
      <c r="A116" t="s">
        <v>266</v>
      </c>
      <c r="B116" t="s">
        <v>31</v>
      </c>
      <c r="C116" t="str">
        <f t="shared" si="1"/>
        <v>NZB15NA_S1</v>
      </c>
      <c r="D116" t="s">
        <v>1088</v>
      </c>
      <c r="E116">
        <v>1</v>
      </c>
      <c r="F116" t="s">
        <v>1089</v>
      </c>
      <c r="G116" t="s">
        <v>54</v>
      </c>
      <c r="H116" t="s">
        <v>820</v>
      </c>
      <c r="I116" t="s">
        <v>42</v>
      </c>
      <c r="J116" t="s">
        <v>37</v>
      </c>
      <c r="K116">
        <v>0</v>
      </c>
      <c r="L116" t="s">
        <v>12</v>
      </c>
      <c r="M116" t="s">
        <v>37</v>
      </c>
      <c r="N116" t="s">
        <v>127</v>
      </c>
      <c r="O116" t="s">
        <v>1090</v>
      </c>
      <c r="P116" t="s">
        <v>37</v>
      </c>
    </row>
    <row r="117" spans="1:16" x14ac:dyDescent="0.25">
      <c r="A117" t="s">
        <v>266</v>
      </c>
      <c r="B117" t="s">
        <v>31</v>
      </c>
      <c r="C117" t="str">
        <f t="shared" si="1"/>
        <v>NZB15NA_S2a</v>
      </c>
      <c r="D117" t="s">
        <v>1088</v>
      </c>
      <c r="E117" t="s">
        <v>72</v>
      </c>
      <c r="F117" t="s">
        <v>1089</v>
      </c>
      <c r="G117" t="s">
        <v>1091</v>
      </c>
      <c r="H117" t="s">
        <v>820</v>
      </c>
      <c r="I117" t="s">
        <v>42</v>
      </c>
      <c r="J117" t="s">
        <v>37</v>
      </c>
      <c r="K117">
        <v>0</v>
      </c>
      <c r="L117" t="s">
        <v>12</v>
      </c>
      <c r="M117" t="s">
        <v>37</v>
      </c>
      <c r="N117" t="s">
        <v>1092</v>
      </c>
      <c r="O117" t="s">
        <v>1090</v>
      </c>
      <c r="P117" t="s">
        <v>1093</v>
      </c>
    </row>
    <row r="118" spans="1:16" x14ac:dyDescent="0.25">
      <c r="A118" t="s">
        <v>266</v>
      </c>
      <c r="B118" t="s">
        <v>31</v>
      </c>
      <c r="C118" t="str">
        <f t="shared" si="1"/>
        <v>NZB15NA_S2b</v>
      </c>
      <c r="D118" t="s">
        <v>1088</v>
      </c>
      <c r="E118" t="s">
        <v>75</v>
      </c>
      <c r="F118" t="s">
        <v>1089</v>
      </c>
      <c r="G118" t="s">
        <v>1079</v>
      </c>
      <c r="H118" t="s">
        <v>820</v>
      </c>
      <c r="I118" t="s">
        <v>42</v>
      </c>
      <c r="J118" t="s">
        <v>37</v>
      </c>
      <c r="K118">
        <v>40</v>
      </c>
      <c r="L118" t="s">
        <v>12</v>
      </c>
      <c r="M118" t="s">
        <v>37</v>
      </c>
      <c r="N118" t="s">
        <v>1092</v>
      </c>
      <c r="O118" t="s">
        <v>1090</v>
      </c>
      <c r="P118" t="s">
        <v>1094</v>
      </c>
    </row>
    <row r="119" spans="1:16" x14ac:dyDescent="0.25">
      <c r="A119" t="s">
        <v>266</v>
      </c>
      <c r="B119" t="s">
        <v>31</v>
      </c>
      <c r="C119" t="str">
        <f t="shared" si="1"/>
        <v>NZB15NA_S3</v>
      </c>
      <c r="D119" t="s">
        <v>1088</v>
      </c>
      <c r="E119">
        <v>3</v>
      </c>
      <c r="F119" t="s">
        <v>1089</v>
      </c>
      <c r="G119" t="s">
        <v>49</v>
      </c>
      <c r="H119" t="s">
        <v>820</v>
      </c>
      <c r="I119" t="s">
        <v>42</v>
      </c>
      <c r="J119" t="s">
        <v>37</v>
      </c>
      <c r="K119">
        <v>0</v>
      </c>
      <c r="L119" t="s">
        <v>12</v>
      </c>
      <c r="M119" t="s">
        <v>37</v>
      </c>
      <c r="N119" t="s">
        <v>1095</v>
      </c>
      <c r="O119" t="s">
        <v>37</v>
      </c>
      <c r="P119" t="s">
        <v>1094</v>
      </c>
    </row>
    <row r="120" spans="1:16" x14ac:dyDescent="0.25">
      <c r="A120" t="s">
        <v>266</v>
      </c>
      <c r="B120" t="s">
        <v>31</v>
      </c>
      <c r="C120" t="str">
        <f t="shared" si="1"/>
        <v>NZB16NA_S1</v>
      </c>
      <c r="D120" t="s">
        <v>1096</v>
      </c>
      <c r="E120">
        <v>1</v>
      </c>
      <c r="F120" t="s">
        <v>1097</v>
      </c>
      <c r="G120" t="s">
        <v>54</v>
      </c>
      <c r="H120" t="s">
        <v>820</v>
      </c>
      <c r="I120" t="s">
        <v>42</v>
      </c>
      <c r="J120" t="s">
        <v>37</v>
      </c>
      <c r="K120">
        <v>0</v>
      </c>
      <c r="L120" t="s">
        <v>12</v>
      </c>
      <c r="M120" t="s">
        <v>37</v>
      </c>
      <c r="N120" t="s">
        <v>127</v>
      </c>
      <c r="O120" t="s">
        <v>1098</v>
      </c>
      <c r="P120" t="s">
        <v>37</v>
      </c>
    </row>
    <row r="121" spans="1:16" x14ac:dyDescent="0.25">
      <c r="A121" t="s">
        <v>266</v>
      </c>
      <c r="B121" t="s">
        <v>31</v>
      </c>
      <c r="C121" t="str">
        <f t="shared" si="1"/>
        <v>NZB16NA_S2</v>
      </c>
      <c r="D121" t="s">
        <v>1096</v>
      </c>
      <c r="E121">
        <v>2</v>
      </c>
      <c r="F121" t="s">
        <v>1097</v>
      </c>
      <c r="G121" t="s">
        <v>49</v>
      </c>
      <c r="H121" t="s">
        <v>820</v>
      </c>
      <c r="I121" t="s">
        <v>42</v>
      </c>
      <c r="J121" t="s">
        <v>37</v>
      </c>
      <c r="K121">
        <v>0</v>
      </c>
      <c r="L121" t="s">
        <v>12</v>
      </c>
      <c r="M121" t="s">
        <v>37</v>
      </c>
      <c r="N121" t="s">
        <v>1099</v>
      </c>
      <c r="O121" t="s">
        <v>1098</v>
      </c>
      <c r="P121" t="s">
        <v>37</v>
      </c>
    </row>
    <row r="122" spans="1:16" x14ac:dyDescent="0.25">
      <c r="A122" t="s">
        <v>266</v>
      </c>
      <c r="B122" t="s">
        <v>31</v>
      </c>
      <c r="C122" t="str">
        <f t="shared" si="1"/>
        <v>NZB17NA_S1</v>
      </c>
      <c r="D122" t="s">
        <v>1100</v>
      </c>
      <c r="E122">
        <v>1</v>
      </c>
      <c r="F122" t="s">
        <v>1101</v>
      </c>
      <c r="G122" t="s">
        <v>54</v>
      </c>
      <c r="H122" t="s">
        <v>820</v>
      </c>
      <c r="I122" t="s">
        <v>42</v>
      </c>
      <c r="J122" t="s">
        <v>37</v>
      </c>
      <c r="K122">
        <v>0</v>
      </c>
      <c r="L122" t="s">
        <v>12</v>
      </c>
      <c r="M122" t="s">
        <v>37</v>
      </c>
      <c r="N122" t="s">
        <v>127</v>
      </c>
      <c r="O122" t="s">
        <v>1102</v>
      </c>
      <c r="P122" t="s">
        <v>37</v>
      </c>
    </row>
    <row r="123" spans="1:16" x14ac:dyDescent="0.25">
      <c r="A123" t="s">
        <v>266</v>
      </c>
      <c r="B123" t="s">
        <v>31</v>
      </c>
      <c r="C123" t="str">
        <f t="shared" si="1"/>
        <v>NZB17NA_S2</v>
      </c>
      <c r="D123" t="s">
        <v>1100</v>
      </c>
      <c r="E123">
        <v>2</v>
      </c>
      <c r="F123" t="s">
        <v>1101</v>
      </c>
      <c r="G123" t="s">
        <v>49</v>
      </c>
      <c r="H123" t="s">
        <v>820</v>
      </c>
      <c r="I123" t="s">
        <v>42</v>
      </c>
      <c r="J123" t="s">
        <v>37</v>
      </c>
      <c r="K123">
        <v>0</v>
      </c>
      <c r="L123" t="s">
        <v>12</v>
      </c>
      <c r="M123" t="s">
        <v>37</v>
      </c>
      <c r="N123" t="s">
        <v>1103</v>
      </c>
      <c r="O123" t="s">
        <v>1102</v>
      </c>
      <c r="P123" t="s">
        <v>37</v>
      </c>
    </row>
    <row r="124" spans="1:16" x14ac:dyDescent="0.25">
      <c r="A124" t="s">
        <v>266</v>
      </c>
      <c r="B124" t="s">
        <v>31</v>
      </c>
      <c r="C124" t="str">
        <f t="shared" si="1"/>
        <v>NZB18NA_S1</v>
      </c>
      <c r="D124" t="s">
        <v>1104</v>
      </c>
      <c r="E124">
        <v>1</v>
      </c>
      <c r="F124" t="s">
        <v>1105</v>
      </c>
      <c r="G124" t="s">
        <v>54</v>
      </c>
      <c r="H124" t="s">
        <v>820</v>
      </c>
      <c r="I124" t="s">
        <v>42</v>
      </c>
      <c r="J124" t="s">
        <v>37</v>
      </c>
      <c r="K124">
        <v>0</v>
      </c>
      <c r="L124" t="s">
        <v>12</v>
      </c>
      <c r="M124" t="s">
        <v>37</v>
      </c>
      <c r="N124" t="s">
        <v>127</v>
      </c>
      <c r="O124" t="s">
        <v>1106</v>
      </c>
      <c r="P124" t="s">
        <v>37</v>
      </c>
    </row>
    <row r="125" spans="1:16" x14ac:dyDescent="0.25">
      <c r="A125" t="s">
        <v>266</v>
      </c>
      <c r="B125" t="s">
        <v>31</v>
      </c>
      <c r="C125" t="str">
        <f t="shared" si="1"/>
        <v>NZB18NA_S2a</v>
      </c>
      <c r="D125" t="s">
        <v>1104</v>
      </c>
      <c r="E125" t="s">
        <v>72</v>
      </c>
      <c r="F125" t="s">
        <v>1105</v>
      </c>
      <c r="G125" t="s">
        <v>1107</v>
      </c>
      <c r="H125" t="s">
        <v>820</v>
      </c>
      <c r="I125" t="s">
        <v>42</v>
      </c>
      <c r="J125" t="s">
        <v>37</v>
      </c>
      <c r="K125">
        <v>35</v>
      </c>
      <c r="L125" t="s">
        <v>12</v>
      </c>
      <c r="M125" t="s">
        <v>37</v>
      </c>
      <c r="N125" t="s">
        <v>1108</v>
      </c>
      <c r="O125" t="s">
        <v>1106</v>
      </c>
      <c r="P125" t="s">
        <v>1109</v>
      </c>
    </row>
    <row r="126" spans="1:16" x14ac:dyDescent="0.25">
      <c r="A126" t="s">
        <v>266</v>
      </c>
      <c r="B126" t="s">
        <v>31</v>
      </c>
      <c r="C126" t="str">
        <f t="shared" si="1"/>
        <v>NZB18NA_S2b</v>
      </c>
      <c r="D126" t="s">
        <v>1104</v>
      </c>
      <c r="E126" t="s">
        <v>75</v>
      </c>
      <c r="F126" t="s">
        <v>1105</v>
      </c>
      <c r="G126" t="s">
        <v>1110</v>
      </c>
      <c r="H126" t="s">
        <v>820</v>
      </c>
      <c r="I126" t="s">
        <v>42</v>
      </c>
      <c r="J126" t="s">
        <v>37</v>
      </c>
      <c r="K126">
        <v>65</v>
      </c>
      <c r="L126" t="s">
        <v>12</v>
      </c>
      <c r="M126" t="s">
        <v>37</v>
      </c>
      <c r="N126" t="s">
        <v>1108</v>
      </c>
      <c r="O126" t="s">
        <v>1106</v>
      </c>
      <c r="P126" t="s">
        <v>1111</v>
      </c>
    </row>
    <row r="127" spans="1:16" x14ac:dyDescent="0.25">
      <c r="A127" t="s">
        <v>266</v>
      </c>
      <c r="B127" t="s">
        <v>31</v>
      </c>
      <c r="C127" t="str">
        <f t="shared" si="1"/>
        <v>NZB19NA_S1</v>
      </c>
      <c r="D127" t="s">
        <v>1112</v>
      </c>
      <c r="E127">
        <v>1</v>
      </c>
      <c r="F127" t="s">
        <v>1113</v>
      </c>
      <c r="G127" t="s">
        <v>1114</v>
      </c>
      <c r="H127" t="s">
        <v>820</v>
      </c>
      <c r="I127" t="s">
        <v>42</v>
      </c>
      <c r="J127" t="s">
        <v>37</v>
      </c>
      <c r="K127">
        <v>20</v>
      </c>
      <c r="L127" t="s">
        <v>12</v>
      </c>
      <c r="M127" t="s">
        <v>1115</v>
      </c>
      <c r="N127" t="s">
        <v>127</v>
      </c>
      <c r="O127" t="s">
        <v>37</v>
      </c>
      <c r="P127" t="s">
        <v>37</v>
      </c>
    </row>
    <row r="128" spans="1:16" x14ac:dyDescent="0.25">
      <c r="A128" t="s">
        <v>266</v>
      </c>
      <c r="B128" t="s">
        <v>31</v>
      </c>
      <c r="C128" t="str">
        <f t="shared" si="1"/>
        <v>NZB19NA_S2</v>
      </c>
      <c r="D128" t="s">
        <v>1112</v>
      </c>
      <c r="E128">
        <v>2</v>
      </c>
      <c r="F128" t="s">
        <v>1113</v>
      </c>
      <c r="G128" t="s">
        <v>1116</v>
      </c>
      <c r="H128" t="s">
        <v>820</v>
      </c>
      <c r="I128" t="s">
        <v>42</v>
      </c>
      <c r="J128" t="s">
        <v>37</v>
      </c>
      <c r="K128">
        <v>20</v>
      </c>
      <c r="L128" t="s">
        <v>12</v>
      </c>
      <c r="M128" t="s">
        <v>1115</v>
      </c>
      <c r="N128" t="s">
        <v>1117</v>
      </c>
      <c r="O128" t="s">
        <v>37</v>
      </c>
      <c r="P128" t="s">
        <v>37</v>
      </c>
    </row>
    <row r="129" spans="1:16" x14ac:dyDescent="0.25">
      <c r="A129" t="s">
        <v>266</v>
      </c>
      <c r="B129" t="s">
        <v>31</v>
      </c>
      <c r="C129" t="str">
        <f t="shared" si="1"/>
        <v>NZB19NA_S3</v>
      </c>
      <c r="D129" t="s">
        <v>1112</v>
      </c>
      <c r="E129">
        <v>3</v>
      </c>
      <c r="F129" t="s">
        <v>1113</v>
      </c>
      <c r="G129" t="s">
        <v>1118</v>
      </c>
      <c r="H129" t="s">
        <v>820</v>
      </c>
      <c r="I129" t="s">
        <v>42</v>
      </c>
      <c r="J129" t="s">
        <v>37</v>
      </c>
      <c r="K129">
        <v>110</v>
      </c>
      <c r="L129" t="s">
        <v>12</v>
      </c>
      <c r="M129" t="s">
        <v>1115</v>
      </c>
      <c r="N129" t="s">
        <v>1119</v>
      </c>
      <c r="O129" t="s">
        <v>37</v>
      </c>
      <c r="P129" t="s">
        <v>37</v>
      </c>
    </row>
    <row r="130" spans="1:16" x14ac:dyDescent="0.25">
      <c r="A130" t="s">
        <v>266</v>
      </c>
      <c r="B130" t="s">
        <v>31</v>
      </c>
      <c r="C130" t="str">
        <f t="shared" ref="C130:C193" si="2">_xlfn.CONCAT(D130,"_S",E130)</f>
        <v>NZB20NA_S1</v>
      </c>
      <c r="D130" t="s">
        <v>1120</v>
      </c>
      <c r="E130">
        <v>1</v>
      </c>
      <c r="F130" t="s">
        <v>1043</v>
      </c>
      <c r="G130" t="s">
        <v>54</v>
      </c>
      <c r="H130" t="s">
        <v>820</v>
      </c>
      <c r="I130" t="s">
        <v>42</v>
      </c>
      <c r="J130" t="s">
        <v>37</v>
      </c>
      <c r="K130">
        <v>0</v>
      </c>
      <c r="L130" t="s">
        <v>12</v>
      </c>
      <c r="M130" t="s">
        <v>37</v>
      </c>
      <c r="N130" t="s">
        <v>127</v>
      </c>
      <c r="O130" t="s">
        <v>1121</v>
      </c>
      <c r="P130" t="s">
        <v>37</v>
      </c>
    </row>
    <row r="131" spans="1:16" x14ac:dyDescent="0.25">
      <c r="A131" t="s">
        <v>266</v>
      </c>
      <c r="B131" t="s">
        <v>31</v>
      </c>
      <c r="C131" t="str">
        <f t="shared" si="2"/>
        <v>NZB20NA_S2</v>
      </c>
      <c r="D131" t="s">
        <v>1120</v>
      </c>
      <c r="E131">
        <v>2</v>
      </c>
      <c r="F131" t="s">
        <v>1043</v>
      </c>
      <c r="G131" t="s">
        <v>49</v>
      </c>
      <c r="H131" t="s">
        <v>820</v>
      </c>
      <c r="I131" t="s">
        <v>42</v>
      </c>
      <c r="J131" t="s">
        <v>37</v>
      </c>
      <c r="K131">
        <v>50</v>
      </c>
      <c r="L131" t="s">
        <v>12</v>
      </c>
      <c r="M131" t="s">
        <v>37</v>
      </c>
      <c r="N131" t="s">
        <v>1122</v>
      </c>
      <c r="O131" t="s">
        <v>1121</v>
      </c>
      <c r="P131" t="s">
        <v>37</v>
      </c>
    </row>
    <row r="132" spans="1:16" x14ac:dyDescent="0.25">
      <c r="A132" t="s">
        <v>266</v>
      </c>
      <c r="B132" t="s">
        <v>31</v>
      </c>
      <c r="C132" t="str">
        <f t="shared" si="2"/>
        <v>NZB21_S1</v>
      </c>
      <c r="D132" t="s">
        <v>1123</v>
      </c>
      <c r="E132">
        <v>1</v>
      </c>
      <c r="F132" t="s">
        <v>1124</v>
      </c>
      <c r="G132" t="s">
        <v>54</v>
      </c>
      <c r="H132" t="s">
        <v>820</v>
      </c>
      <c r="I132" t="s">
        <v>36</v>
      </c>
      <c r="J132">
        <v>2</v>
      </c>
      <c r="K132">
        <v>0</v>
      </c>
      <c r="L132" t="s">
        <v>5</v>
      </c>
      <c r="M132" t="s">
        <v>37</v>
      </c>
      <c r="N132" t="s">
        <v>127</v>
      </c>
      <c r="O132" t="s">
        <v>1125</v>
      </c>
      <c r="P132" t="s">
        <v>37</v>
      </c>
    </row>
    <row r="133" spans="1:16" x14ac:dyDescent="0.25">
      <c r="A133" t="s">
        <v>266</v>
      </c>
      <c r="B133" t="s">
        <v>31</v>
      </c>
      <c r="C133" t="str">
        <f t="shared" si="2"/>
        <v>NZB21_S2</v>
      </c>
      <c r="D133" t="s">
        <v>1123</v>
      </c>
      <c r="E133">
        <v>2</v>
      </c>
      <c r="F133" t="s">
        <v>1124</v>
      </c>
      <c r="G133" t="s">
        <v>49</v>
      </c>
      <c r="H133" t="s">
        <v>820</v>
      </c>
      <c r="I133" t="s">
        <v>36</v>
      </c>
      <c r="J133">
        <v>2</v>
      </c>
      <c r="K133">
        <v>25</v>
      </c>
      <c r="L133" t="s">
        <v>5</v>
      </c>
      <c r="M133" t="s">
        <v>37</v>
      </c>
      <c r="N133" t="s">
        <v>1126</v>
      </c>
      <c r="O133" t="s">
        <v>1125</v>
      </c>
      <c r="P133" t="s">
        <v>37</v>
      </c>
    </row>
    <row r="134" spans="1:16" x14ac:dyDescent="0.25">
      <c r="A134" t="s">
        <v>266</v>
      </c>
      <c r="B134" t="s">
        <v>31</v>
      </c>
      <c r="C134" t="str">
        <f t="shared" si="2"/>
        <v>NZB22_S1</v>
      </c>
      <c r="D134" t="s">
        <v>1127</v>
      </c>
      <c r="E134">
        <v>1</v>
      </c>
      <c r="F134" t="s">
        <v>1128</v>
      </c>
      <c r="G134" t="s">
        <v>54</v>
      </c>
      <c r="H134" t="s">
        <v>820</v>
      </c>
      <c r="I134" t="s">
        <v>36</v>
      </c>
      <c r="J134">
        <v>6</v>
      </c>
      <c r="K134">
        <v>0</v>
      </c>
      <c r="L134" t="s">
        <v>5</v>
      </c>
      <c r="M134" t="s">
        <v>131</v>
      </c>
      <c r="N134" t="s">
        <v>127</v>
      </c>
      <c r="O134" t="s">
        <v>1129</v>
      </c>
      <c r="P134" t="s">
        <v>37</v>
      </c>
    </row>
    <row r="135" spans="1:16" x14ac:dyDescent="0.25">
      <c r="A135" t="s">
        <v>266</v>
      </c>
      <c r="B135" t="s">
        <v>31</v>
      </c>
      <c r="C135" t="str">
        <f t="shared" si="2"/>
        <v>NZB22_S1a</v>
      </c>
      <c r="D135" t="s">
        <v>1127</v>
      </c>
      <c r="E135" t="s">
        <v>1130</v>
      </c>
      <c r="F135" t="s">
        <v>1128</v>
      </c>
      <c r="G135" t="s">
        <v>1131</v>
      </c>
      <c r="H135" t="s">
        <v>820</v>
      </c>
      <c r="I135" t="s">
        <v>36</v>
      </c>
      <c r="J135">
        <v>6</v>
      </c>
      <c r="K135">
        <v>10</v>
      </c>
      <c r="L135" t="s">
        <v>5</v>
      </c>
      <c r="M135" t="s">
        <v>131</v>
      </c>
      <c r="N135" t="s">
        <v>1132</v>
      </c>
      <c r="O135" t="s">
        <v>1129</v>
      </c>
      <c r="P135" t="s">
        <v>1133</v>
      </c>
    </row>
    <row r="136" spans="1:16" x14ac:dyDescent="0.25">
      <c r="A136" t="s">
        <v>266</v>
      </c>
      <c r="B136" t="s">
        <v>31</v>
      </c>
      <c r="C136" t="str">
        <f t="shared" si="2"/>
        <v>NZB22_S1b</v>
      </c>
      <c r="D136" t="s">
        <v>1127</v>
      </c>
      <c r="E136" t="s">
        <v>455</v>
      </c>
      <c r="F136" t="s">
        <v>1128</v>
      </c>
      <c r="G136" t="s">
        <v>1134</v>
      </c>
      <c r="H136" t="s">
        <v>820</v>
      </c>
      <c r="I136" t="s">
        <v>36</v>
      </c>
      <c r="J136">
        <v>6</v>
      </c>
      <c r="K136">
        <v>35</v>
      </c>
      <c r="L136" t="s">
        <v>5</v>
      </c>
      <c r="M136" t="s">
        <v>131</v>
      </c>
      <c r="N136" t="s">
        <v>1132</v>
      </c>
      <c r="O136" t="s">
        <v>1129</v>
      </c>
      <c r="P136" t="s">
        <v>1135</v>
      </c>
    </row>
    <row r="137" spans="1:16" x14ac:dyDescent="0.25">
      <c r="A137" t="s">
        <v>266</v>
      </c>
      <c r="B137" t="s">
        <v>31</v>
      </c>
      <c r="C137" t="str">
        <f t="shared" si="2"/>
        <v>NZB23_S1</v>
      </c>
      <c r="D137" t="s">
        <v>1136</v>
      </c>
      <c r="E137">
        <v>1</v>
      </c>
      <c r="F137" t="s">
        <v>1137</v>
      </c>
      <c r="G137" t="s">
        <v>54</v>
      </c>
      <c r="H137" t="s">
        <v>820</v>
      </c>
      <c r="I137" t="s">
        <v>36</v>
      </c>
      <c r="J137">
        <v>7</v>
      </c>
      <c r="K137">
        <v>0</v>
      </c>
      <c r="L137" t="s">
        <v>5</v>
      </c>
      <c r="M137" t="s">
        <v>37</v>
      </c>
      <c r="N137" t="s">
        <v>127</v>
      </c>
      <c r="O137" t="s">
        <v>1138</v>
      </c>
      <c r="P137" t="s">
        <v>37</v>
      </c>
    </row>
    <row r="138" spans="1:16" x14ac:dyDescent="0.25">
      <c r="A138" t="s">
        <v>266</v>
      </c>
      <c r="B138" t="s">
        <v>31</v>
      </c>
      <c r="C138" t="str">
        <f t="shared" si="2"/>
        <v>NZB23_S2</v>
      </c>
      <c r="D138" t="s">
        <v>1136</v>
      </c>
      <c r="E138">
        <v>2</v>
      </c>
      <c r="F138" t="s">
        <v>1137</v>
      </c>
      <c r="G138" t="s">
        <v>49</v>
      </c>
      <c r="H138" t="s">
        <v>820</v>
      </c>
      <c r="I138" t="s">
        <v>36</v>
      </c>
      <c r="J138">
        <v>7</v>
      </c>
      <c r="K138">
        <v>0</v>
      </c>
      <c r="L138" t="s">
        <v>5</v>
      </c>
      <c r="M138" t="s">
        <v>37</v>
      </c>
      <c r="N138" t="s">
        <v>1139</v>
      </c>
      <c r="O138" t="s">
        <v>1138</v>
      </c>
      <c r="P138" t="s">
        <v>37</v>
      </c>
    </row>
    <row r="139" spans="1:16" x14ac:dyDescent="0.25">
      <c r="A139" t="s">
        <v>266</v>
      </c>
      <c r="B139" t="s">
        <v>31</v>
      </c>
      <c r="C139" t="str">
        <f t="shared" si="2"/>
        <v>NZB24_S1</v>
      </c>
      <c r="D139" t="s">
        <v>1140</v>
      </c>
      <c r="E139">
        <v>1</v>
      </c>
      <c r="F139" t="s">
        <v>1141</v>
      </c>
      <c r="G139" t="s">
        <v>54</v>
      </c>
      <c r="H139" t="s">
        <v>820</v>
      </c>
      <c r="I139" t="s">
        <v>36</v>
      </c>
      <c r="J139">
        <v>8</v>
      </c>
      <c r="K139">
        <v>0</v>
      </c>
      <c r="L139" t="s">
        <v>5</v>
      </c>
      <c r="M139" t="s">
        <v>37</v>
      </c>
      <c r="N139" t="s">
        <v>127</v>
      </c>
      <c r="O139" t="s">
        <v>1142</v>
      </c>
      <c r="P139" t="s">
        <v>37</v>
      </c>
    </row>
    <row r="140" spans="1:16" x14ac:dyDescent="0.25">
      <c r="A140" t="s">
        <v>266</v>
      </c>
      <c r="B140" t="s">
        <v>31</v>
      </c>
      <c r="C140" t="str">
        <f t="shared" si="2"/>
        <v>NZB24_S2</v>
      </c>
      <c r="D140" t="s">
        <v>1140</v>
      </c>
      <c r="E140">
        <v>2</v>
      </c>
      <c r="F140" t="s">
        <v>1141</v>
      </c>
      <c r="G140" t="s">
        <v>49</v>
      </c>
      <c r="H140" t="s">
        <v>820</v>
      </c>
      <c r="I140" t="s">
        <v>36</v>
      </c>
      <c r="J140">
        <v>8</v>
      </c>
      <c r="K140">
        <v>10</v>
      </c>
      <c r="L140" t="s">
        <v>5</v>
      </c>
      <c r="M140" t="s">
        <v>37</v>
      </c>
      <c r="N140" t="s">
        <v>1143</v>
      </c>
      <c r="O140" t="s">
        <v>1142</v>
      </c>
      <c r="P140" t="s">
        <v>37</v>
      </c>
    </row>
    <row r="141" spans="1:16" x14ac:dyDescent="0.25">
      <c r="A141" t="s">
        <v>266</v>
      </c>
      <c r="B141" t="s">
        <v>31</v>
      </c>
      <c r="C141" t="str">
        <f t="shared" si="2"/>
        <v>NZB25_S1</v>
      </c>
      <c r="D141" t="s">
        <v>1144</v>
      </c>
      <c r="E141">
        <v>1</v>
      </c>
      <c r="F141" t="s">
        <v>1145</v>
      </c>
      <c r="G141" t="s">
        <v>54</v>
      </c>
      <c r="H141" t="s">
        <v>820</v>
      </c>
      <c r="I141" t="s">
        <v>36</v>
      </c>
      <c r="J141">
        <v>8</v>
      </c>
      <c r="K141">
        <v>0</v>
      </c>
      <c r="L141" t="s">
        <v>5</v>
      </c>
      <c r="M141" t="s">
        <v>37</v>
      </c>
      <c r="N141" t="s">
        <v>1146</v>
      </c>
      <c r="O141" t="s">
        <v>1147</v>
      </c>
      <c r="P141" t="s">
        <v>37</v>
      </c>
    </row>
    <row r="142" spans="1:16" x14ac:dyDescent="0.25">
      <c r="A142" t="s">
        <v>266</v>
      </c>
      <c r="B142" t="s">
        <v>31</v>
      </c>
      <c r="C142" t="str">
        <f t="shared" si="2"/>
        <v>NZB25_S2</v>
      </c>
      <c r="D142" t="s">
        <v>1144</v>
      </c>
      <c r="E142">
        <v>2</v>
      </c>
      <c r="F142" t="s">
        <v>1145</v>
      </c>
      <c r="G142" t="s">
        <v>1148</v>
      </c>
      <c r="H142" t="s">
        <v>820</v>
      </c>
      <c r="I142" t="s">
        <v>36</v>
      </c>
      <c r="J142">
        <v>8</v>
      </c>
      <c r="K142">
        <v>10</v>
      </c>
      <c r="L142" t="s">
        <v>5</v>
      </c>
      <c r="M142" t="s">
        <v>37</v>
      </c>
      <c r="N142" t="s">
        <v>1149</v>
      </c>
      <c r="O142" t="s">
        <v>1147</v>
      </c>
      <c r="P142" t="s">
        <v>37</v>
      </c>
    </row>
    <row r="143" spans="1:16" x14ac:dyDescent="0.25">
      <c r="A143" t="s">
        <v>266</v>
      </c>
      <c r="B143" t="s">
        <v>31</v>
      </c>
      <c r="C143" t="str">
        <f t="shared" si="2"/>
        <v>NZB25_S3</v>
      </c>
      <c r="D143" t="s">
        <v>1144</v>
      </c>
      <c r="E143">
        <v>3</v>
      </c>
      <c r="F143" t="s">
        <v>1145</v>
      </c>
      <c r="G143" t="s">
        <v>1150</v>
      </c>
      <c r="H143" t="s">
        <v>820</v>
      </c>
      <c r="I143" t="s">
        <v>36</v>
      </c>
      <c r="J143">
        <v>8</v>
      </c>
      <c r="K143">
        <v>10</v>
      </c>
      <c r="L143" t="s">
        <v>5</v>
      </c>
      <c r="M143" t="s">
        <v>37</v>
      </c>
      <c r="N143" t="s">
        <v>1151</v>
      </c>
      <c r="O143" t="s">
        <v>37</v>
      </c>
      <c r="P143" t="s">
        <v>37</v>
      </c>
    </row>
    <row r="144" spans="1:16" x14ac:dyDescent="0.25">
      <c r="A144" t="s">
        <v>266</v>
      </c>
      <c r="B144" t="s">
        <v>31</v>
      </c>
      <c r="C144" t="str">
        <f t="shared" si="2"/>
        <v>NZB25_S4</v>
      </c>
      <c r="D144" t="s">
        <v>1144</v>
      </c>
      <c r="E144">
        <v>4</v>
      </c>
      <c r="F144" t="s">
        <v>1145</v>
      </c>
      <c r="G144" t="s">
        <v>49</v>
      </c>
      <c r="H144" t="s">
        <v>820</v>
      </c>
      <c r="I144" t="s">
        <v>36</v>
      </c>
      <c r="J144">
        <v>8</v>
      </c>
      <c r="K144">
        <v>25</v>
      </c>
      <c r="L144" t="s">
        <v>5</v>
      </c>
      <c r="M144" t="s">
        <v>37</v>
      </c>
      <c r="N144" t="s">
        <v>1152</v>
      </c>
      <c r="O144" t="s">
        <v>37</v>
      </c>
      <c r="P144" t="s">
        <v>37</v>
      </c>
    </row>
    <row r="145" spans="1:16" x14ac:dyDescent="0.25">
      <c r="A145" t="s">
        <v>266</v>
      </c>
      <c r="B145" t="s">
        <v>31</v>
      </c>
      <c r="C145" t="str">
        <f t="shared" si="2"/>
        <v>NZB26_S1</v>
      </c>
      <c r="D145" t="s">
        <v>1153</v>
      </c>
      <c r="E145">
        <v>1</v>
      </c>
      <c r="F145" t="s">
        <v>1154</v>
      </c>
      <c r="G145" t="s">
        <v>54</v>
      </c>
      <c r="H145" t="s">
        <v>820</v>
      </c>
      <c r="I145" t="s">
        <v>36</v>
      </c>
      <c r="J145">
        <v>9</v>
      </c>
      <c r="K145">
        <v>0</v>
      </c>
      <c r="L145" t="s">
        <v>5</v>
      </c>
      <c r="M145" t="s">
        <v>37</v>
      </c>
      <c r="N145" t="s">
        <v>876</v>
      </c>
      <c r="O145" t="s">
        <v>1155</v>
      </c>
      <c r="P145" t="s">
        <v>37</v>
      </c>
    </row>
    <row r="146" spans="1:16" x14ac:dyDescent="0.25">
      <c r="A146" t="s">
        <v>266</v>
      </c>
      <c r="B146" t="s">
        <v>31</v>
      </c>
      <c r="C146" t="str">
        <f t="shared" si="2"/>
        <v>NZB26_S2a</v>
      </c>
      <c r="D146" t="s">
        <v>1153</v>
      </c>
      <c r="E146" t="s">
        <v>72</v>
      </c>
      <c r="F146" t="s">
        <v>1154</v>
      </c>
      <c r="G146" t="s">
        <v>1156</v>
      </c>
      <c r="H146" t="s">
        <v>820</v>
      </c>
      <c r="I146" t="s">
        <v>36</v>
      </c>
      <c r="J146">
        <v>9</v>
      </c>
      <c r="K146">
        <v>50</v>
      </c>
      <c r="L146" t="s">
        <v>5</v>
      </c>
      <c r="M146" t="s">
        <v>37</v>
      </c>
      <c r="N146" t="s">
        <v>1157</v>
      </c>
      <c r="O146" t="s">
        <v>1155</v>
      </c>
      <c r="P146" t="s">
        <v>1158</v>
      </c>
    </row>
    <row r="147" spans="1:16" x14ac:dyDescent="0.25">
      <c r="A147" t="s">
        <v>266</v>
      </c>
      <c r="B147" t="s">
        <v>31</v>
      </c>
      <c r="C147" t="str">
        <f t="shared" si="2"/>
        <v>NZB26_S2b</v>
      </c>
      <c r="D147" t="s">
        <v>1153</v>
      </c>
      <c r="E147" t="s">
        <v>75</v>
      </c>
      <c r="F147" t="s">
        <v>1154</v>
      </c>
      <c r="G147" t="s">
        <v>1159</v>
      </c>
      <c r="H147" t="s">
        <v>820</v>
      </c>
      <c r="I147" t="s">
        <v>36</v>
      </c>
      <c r="J147">
        <v>9</v>
      </c>
      <c r="K147">
        <v>25</v>
      </c>
      <c r="L147" t="s">
        <v>5</v>
      </c>
      <c r="M147" t="s">
        <v>37</v>
      </c>
      <c r="N147" t="s">
        <v>1157</v>
      </c>
      <c r="O147" t="s">
        <v>1155</v>
      </c>
      <c r="P147" t="s">
        <v>1160</v>
      </c>
    </row>
    <row r="148" spans="1:16" x14ac:dyDescent="0.25">
      <c r="A148" t="s">
        <v>266</v>
      </c>
      <c r="B148" t="s">
        <v>31</v>
      </c>
      <c r="C148" t="str">
        <f t="shared" si="2"/>
        <v>NZB26_S2c</v>
      </c>
      <c r="D148" t="s">
        <v>1153</v>
      </c>
      <c r="E148" t="s">
        <v>78</v>
      </c>
      <c r="F148" t="s">
        <v>1154</v>
      </c>
      <c r="G148" t="s">
        <v>1161</v>
      </c>
      <c r="H148" t="s">
        <v>820</v>
      </c>
      <c r="I148" t="s">
        <v>36</v>
      </c>
      <c r="J148">
        <v>9</v>
      </c>
      <c r="K148">
        <v>0</v>
      </c>
      <c r="L148" t="s">
        <v>5</v>
      </c>
      <c r="M148" t="s">
        <v>37</v>
      </c>
      <c r="N148" t="s">
        <v>1157</v>
      </c>
      <c r="O148" t="s">
        <v>1155</v>
      </c>
      <c r="P148" t="s">
        <v>1162</v>
      </c>
    </row>
    <row r="149" spans="1:16" x14ac:dyDescent="0.25">
      <c r="A149" t="s">
        <v>266</v>
      </c>
      <c r="B149" t="s">
        <v>31</v>
      </c>
      <c r="C149" t="str">
        <f t="shared" si="2"/>
        <v>NZB27_S1</v>
      </c>
      <c r="D149" t="s">
        <v>1163</v>
      </c>
      <c r="E149">
        <v>1</v>
      </c>
      <c r="F149" t="s">
        <v>1164</v>
      </c>
      <c r="G149" t="s">
        <v>54</v>
      </c>
      <c r="H149" t="s">
        <v>820</v>
      </c>
      <c r="I149" t="s">
        <v>36</v>
      </c>
      <c r="J149">
        <v>9</v>
      </c>
      <c r="K149">
        <v>0</v>
      </c>
      <c r="L149" t="s">
        <v>5</v>
      </c>
      <c r="M149" t="s">
        <v>37</v>
      </c>
      <c r="N149" t="s">
        <v>37</v>
      </c>
      <c r="O149" t="s">
        <v>1165</v>
      </c>
      <c r="P149" t="s">
        <v>37</v>
      </c>
    </row>
    <row r="150" spans="1:16" x14ac:dyDescent="0.25">
      <c r="A150" t="s">
        <v>266</v>
      </c>
      <c r="B150" t="s">
        <v>31</v>
      </c>
      <c r="C150" t="str">
        <f t="shared" si="2"/>
        <v>NZB27_S2</v>
      </c>
      <c r="D150" t="s">
        <v>1163</v>
      </c>
      <c r="E150">
        <v>2</v>
      </c>
      <c r="F150" t="s">
        <v>1164</v>
      </c>
      <c r="G150" t="s">
        <v>1166</v>
      </c>
      <c r="H150" t="s">
        <v>820</v>
      </c>
      <c r="I150" t="s">
        <v>36</v>
      </c>
      <c r="J150">
        <v>9</v>
      </c>
      <c r="K150">
        <v>100</v>
      </c>
      <c r="L150" t="s">
        <v>5</v>
      </c>
      <c r="M150" t="s">
        <v>37</v>
      </c>
      <c r="N150" t="s">
        <v>1167</v>
      </c>
      <c r="O150" t="s">
        <v>1165</v>
      </c>
      <c r="P150" t="s">
        <v>37</v>
      </c>
    </row>
    <row r="151" spans="1:16" x14ac:dyDescent="0.25">
      <c r="A151" t="s">
        <v>266</v>
      </c>
      <c r="B151" t="s">
        <v>31</v>
      </c>
      <c r="C151" t="str">
        <f t="shared" si="2"/>
        <v>NZB27_S3</v>
      </c>
      <c r="D151" t="s">
        <v>1163</v>
      </c>
      <c r="E151">
        <v>3</v>
      </c>
      <c r="F151" t="s">
        <v>1164</v>
      </c>
      <c r="G151" t="s">
        <v>1168</v>
      </c>
      <c r="H151" t="s">
        <v>820</v>
      </c>
      <c r="I151" t="s">
        <v>36</v>
      </c>
      <c r="J151">
        <v>9</v>
      </c>
      <c r="K151">
        <v>150</v>
      </c>
      <c r="L151" t="s">
        <v>5</v>
      </c>
      <c r="M151" t="s">
        <v>37</v>
      </c>
      <c r="N151" t="s">
        <v>1169</v>
      </c>
      <c r="O151" t="s">
        <v>37</v>
      </c>
      <c r="P151" t="s">
        <v>37</v>
      </c>
    </row>
    <row r="152" spans="1:16" x14ac:dyDescent="0.25">
      <c r="A152" t="s">
        <v>266</v>
      </c>
      <c r="B152" t="s">
        <v>31</v>
      </c>
      <c r="C152" t="str">
        <f t="shared" si="2"/>
        <v>NZB28_S1</v>
      </c>
      <c r="D152" t="s">
        <v>1170</v>
      </c>
      <c r="E152">
        <v>1</v>
      </c>
      <c r="F152" t="s">
        <v>1171</v>
      </c>
      <c r="G152" t="s">
        <v>54</v>
      </c>
      <c r="H152" t="s">
        <v>820</v>
      </c>
      <c r="I152" t="s">
        <v>36</v>
      </c>
      <c r="J152">
        <v>9</v>
      </c>
      <c r="K152">
        <v>0</v>
      </c>
      <c r="L152" t="s">
        <v>5</v>
      </c>
      <c r="M152" t="s">
        <v>37</v>
      </c>
      <c r="N152" t="s">
        <v>127</v>
      </c>
      <c r="O152" t="s">
        <v>1172</v>
      </c>
      <c r="P152" t="s">
        <v>37</v>
      </c>
    </row>
    <row r="153" spans="1:16" x14ac:dyDescent="0.25">
      <c r="A153" t="s">
        <v>266</v>
      </c>
      <c r="B153" t="s">
        <v>31</v>
      </c>
      <c r="C153" t="str">
        <f t="shared" si="2"/>
        <v>NZB28_S2</v>
      </c>
      <c r="D153" t="s">
        <v>1170</v>
      </c>
      <c r="E153">
        <v>2</v>
      </c>
      <c r="F153" t="s">
        <v>1171</v>
      </c>
      <c r="G153" t="s">
        <v>1173</v>
      </c>
      <c r="H153" t="s">
        <v>820</v>
      </c>
      <c r="I153" t="s">
        <v>36</v>
      </c>
      <c r="J153">
        <v>9</v>
      </c>
      <c r="K153">
        <v>50</v>
      </c>
      <c r="L153" t="s">
        <v>5</v>
      </c>
      <c r="M153" t="s">
        <v>37</v>
      </c>
      <c r="N153" t="s">
        <v>1174</v>
      </c>
      <c r="O153" t="s">
        <v>1172</v>
      </c>
      <c r="P153" t="s">
        <v>37</v>
      </c>
    </row>
    <row r="154" spans="1:16" x14ac:dyDescent="0.25">
      <c r="A154" t="s">
        <v>266</v>
      </c>
      <c r="B154" t="s">
        <v>31</v>
      </c>
      <c r="C154" t="str">
        <f t="shared" si="2"/>
        <v>NZB28_S3</v>
      </c>
      <c r="D154" t="s">
        <v>1170</v>
      </c>
      <c r="E154">
        <v>3</v>
      </c>
      <c r="F154" t="s">
        <v>1171</v>
      </c>
      <c r="G154" t="s">
        <v>1175</v>
      </c>
      <c r="H154" t="s">
        <v>820</v>
      </c>
      <c r="I154" t="s">
        <v>36</v>
      </c>
      <c r="J154">
        <v>9</v>
      </c>
      <c r="K154">
        <v>75</v>
      </c>
      <c r="L154" t="s">
        <v>5</v>
      </c>
      <c r="M154" t="s">
        <v>37</v>
      </c>
      <c r="N154" t="s">
        <v>1176</v>
      </c>
      <c r="O154" t="s">
        <v>37</v>
      </c>
      <c r="P154" t="s">
        <v>37</v>
      </c>
    </row>
    <row r="155" spans="1:16" x14ac:dyDescent="0.25">
      <c r="A155" t="s">
        <v>266</v>
      </c>
      <c r="B155" t="s">
        <v>31</v>
      </c>
      <c r="C155" t="str">
        <f t="shared" si="2"/>
        <v>NZB28_S4</v>
      </c>
      <c r="D155" t="s">
        <v>1170</v>
      </c>
      <c r="E155">
        <v>4</v>
      </c>
      <c r="F155" t="s">
        <v>1171</v>
      </c>
      <c r="G155" t="s">
        <v>1177</v>
      </c>
      <c r="H155" t="s">
        <v>820</v>
      </c>
      <c r="I155" t="s">
        <v>36</v>
      </c>
      <c r="J155">
        <v>9</v>
      </c>
      <c r="K155">
        <v>75</v>
      </c>
      <c r="L155" t="s">
        <v>5</v>
      </c>
      <c r="M155" t="s">
        <v>37</v>
      </c>
      <c r="N155" t="s">
        <v>1178</v>
      </c>
      <c r="O155" t="s">
        <v>37</v>
      </c>
      <c r="P155" t="s">
        <v>37</v>
      </c>
    </row>
    <row r="156" spans="1:16" x14ac:dyDescent="0.25">
      <c r="A156" t="s">
        <v>266</v>
      </c>
      <c r="B156" t="s">
        <v>31</v>
      </c>
      <c r="C156" t="str">
        <f t="shared" si="2"/>
        <v>NZB29_S1</v>
      </c>
      <c r="D156" t="s">
        <v>1179</v>
      </c>
      <c r="E156">
        <v>1</v>
      </c>
      <c r="F156" t="s">
        <v>1180</v>
      </c>
      <c r="G156" t="s">
        <v>54</v>
      </c>
      <c r="H156" t="s">
        <v>820</v>
      </c>
      <c r="I156" t="s">
        <v>36</v>
      </c>
      <c r="J156">
        <v>10</v>
      </c>
      <c r="K156">
        <v>0</v>
      </c>
      <c r="L156" t="s">
        <v>5</v>
      </c>
      <c r="M156" t="s">
        <v>37</v>
      </c>
      <c r="N156" t="s">
        <v>127</v>
      </c>
      <c r="O156" t="s">
        <v>1181</v>
      </c>
      <c r="P156" t="s">
        <v>37</v>
      </c>
    </row>
    <row r="157" spans="1:16" x14ac:dyDescent="0.25">
      <c r="A157" t="s">
        <v>266</v>
      </c>
      <c r="B157" t="s">
        <v>31</v>
      </c>
      <c r="C157" t="str">
        <f t="shared" si="2"/>
        <v>NZB29_S2</v>
      </c>
      <c r="D157" t="s">
        <v>1179</v>
      </c>
      <c r="E157">
        <v>2</v>
      </c>
      <c r="F157" t="s">
        <v>1180</v>
      </c>
      <c r="G157" t="s">
        <v>49</v>
      </c>
      <c r="H157" t="s">
        <v>820</v>
      </c>
      <c r="I157" t="s">
        <v>36</v>
      </c>
      <c r="J157">
        <v>10</v>
      </c>
      <c r="K157">
        <v>50</v>
      </c>
      <c r="L157" t="s">
        <v>5</v>
      </c>
      <c r="M157" t="s">
        <v>37</v>
      </c>
      <c r="N157" t="s">
        <v>1182</v>
      </c>
      <c r="O157" t="s">
        <v>1181</v>
      </c>
      <c r="P157" t="s">
        <v>37</v>
      </c>
    </row>
    <row r="158" spans="1:16" x14ac:dyDescent="0.25">
      <c r="A158" t="s">
        <v>266</v>
      </c>
      <c r="B158" t="s">
        <v>31</v>
      </c>
      <c r="C158" t="str">
        <f t="shared" si="2"/>
        <v>NZB30_S1</v>
      </c>
      <c r="D158" t="s">
        <v>1183</v>
      </c>
      <c r="E158">
        <v>1</v>
      </c>
      <c r="F158" t="s">
        <v>1184</v>
      </c>
      <c r="G158" t="s">
        <v>54</v>
      </c>
      <c r="H158" t="s">
        <v>820</v>
      </c>
      <c r="I158" t="s">
        <v>36</v>
      </c>
      <c r="J158">
        <v>11</v>
      </c>
      <c r="K158">
        <v>0</v>
      </c>
      <c r="L158" t="s">
        <v>5</v>
      </c>
      <c r="M158" t="s">
        <v>37</v>
      </c>
      <c r="N158" t="s">
        <v>127</v>
      </c>
      <c r="O158" t="s">
        <v>1185</v>
      </c>
      <c r="P158" t="s">
        <v>37</v>
      </c>
    </row>
    <row r="159" spans="1:16" x14ac:dyDescent="0.25">
      <c r="A159" t="s">
        <v>266</v>
      </c>
      <c r="B159" t="s">
        <v>31</v>
      </c>
      <c r="C159" t="str">
        <f t="shared" si="2"/>
        <v>NZB30_S2</v>
      </c>
      <c r="D159" t="s">
        <v>1183</v>
      </c>
      <c r="E159">
        <v>2</v>
      </c>
      <c r="F159" t="s">
        <v>1184</v>
      </c>
      <c r="G159" t="s">
        <v>49</v>
      </c>
      <c r="H159" t="s">
        <v>820</v>
      </c>
      <c r="I159" t="s">
        <v>36</v>
      </c>
      <c r="J159">
        <v>11</v>
      </c>
      <c r="K159">
        <v>25</v>
      </c>
      <c r="L159" t="s">
        <v>5</v>
      </c>
      <c r="M159" t="s">
        <v>37</v>
      </c>
      <c r="N159" t="s">
        <v>1186</v>
      </c>
      <c r="O159" t="s">
        <v>1185</v>
      </c>
      <c r="P159" t="s">
        <v>37</v>
      </c>
    </row>
    <row r="160" spans="1:16" x14ac:dyDescent="0.25">
      <c r="A160" t="s">
        <v>266</v>
      </c>
      <c r="B160" t="s">
        <v>31</v>
      </c>
      <c r="C160" t="str">
        <f t="shared" si="2"/>
        <v>NZB31_S1</v>
      </c>
      <c r="D160" t="s">
        <v>1187</v>
      </c>
      <c r="E160">
        <v>1</v>
      </c>
      <c r="F160" t="s">
        <v>1188</v>
      </c>
      <c r="G160" t="s">
        <v>54</v>
      </c>
      <c r="H160" t="s">
        <v>820</v>
      </c>
      <c r="I160" t="s">
        <v>36</v>
      </c>
      <c r="J160">
        <v>11</v>
      </c>
      <c r="K160">
        <v>0</v>
      </c>
      <c r="L160" t="s">
        <v>5</v>
      </c>
      <c r="M160" t="s">
        <v>132</v>
      </c>
      <c r="N160" t="s">
        <v>127</v>
      </c>
      <c r="O160" t="s">
        <v>1189</v>
      </c>
      <c r="P160" t="s">
        <v>37</v>
      </c>
    </row>
    <row r="161" spans="1:16" x14ac:dyDescent="0.25">
      <c r="A161" t="s">
        <v>266</v>
      </c>
      <c r="B161" t="s">
        <v>31</v>
      </c>
      <c r="C161" t="str">
        <f t="shared" si="2"/>
        <v>NZB31_S2</v>
      </c>
      <c r="D161" t="s">
        <v>1187</v>
      </c>
      <c r="E161">
        <v>2</v>
      </c>
      <c r="F161" t="s">
        <v>1188</v>
      </c>
      <c r="G161" t="s">
        <v>1190</v>
      </c>
      <c r="H161" t="s">
        <v>820</v>
      </c>
      <c r="I161" t="s">
        <v>36</v>
      </c>
      <c r="J161">
        <v>11</v>
      </c>
      <c r="K161">
        <v>50</v>
      </c>
      <c r="L161" t="s">
        <v>5</v>
      </c>
      <c r="M161" t="s">
        <v>132</v>
      </c>
      <c r="N161" t="s">
        <v>1191</v>
      </c>
      <c r="O161" t="s">
        <v>1189</v>
      </c>
      <c r="P161" t="s">
        <v>37</v>
      </c>
    </row>
    <row r="162" spans="1:16" x14ac:dyDescent="0.25">
      <c r="A162" t="s">
        <v>266</v>
      </c>
      <c r="B162" t="s">
        <v>31</v>
      </c>
      <c r="C162" t="str">
        <f t="shared" si="2"/>
        <v>NZB31_S3</v>
      </c>
      <c r="D162" t="s">
        <v>1187</v>
      </c>
      <c r="E162">
        <v>3</v>
      </c>
      <c r="F162" t="s">
        <v>1188</v>
      </c>
      <c r="G162" t="s">
        <v>1192</v>
      </c>
      <c r="H162" t="s">
        <v>820</v>
      </c>
      <c r="I162" t="s">
        <v>36</v>
      </c>
      <c r="J162">
        <v>11</v>
      </c>
      <c r="K162">
        <v>80</v>
      </c>
      <c r="L162" t="s">
        <v>5</v>
      </c>
      <c r="M162" t="s">
        <v>132</v>
      </c>
      <c r="N162" t="s">
        <v>1193</v>
      </c>
      <c r="O162" t="s">
        <v>37</v>
      </c>
      <c r="P162" t="s">
        <v>37</v>
      </c>
    </row>
    <row r="163" spans="1:16" x14ac:dyDescent="0.25">
      <c r="A163" t="s">
        <v>266</v>
      </c>
      <c r="B163" t="s">
        <v>31</v>
      </c>
      <c r="C163" t="str">
        <f t="shared" si="2"/>
        <v>NZB31_S4</v>
      </c>
      <c r="D163" t="s">
        <v>1187</v>
      </c>
      <c r="E163">
        <v>4</v>
      </c>
      <c r="F163" t="s">
        <v>1188</v>
      </c>
      <c r="G163" t="s">
        <v>1194</v>
      </c>
      <c r="H163" t="s">
        <v>820</v>
      </c>
      <c r="I163" t="s">
        <v>36</v>
      </c>
      <c r="J163">
        <v>11</v>
      </c>
      <c r="K163">
        <v>80</v>
      </c>
      <c r="L163" t="s">
        <v>5</v>
      </c>
      <c r="M163" t="s">
        <v>132</v>
      </c>
      <c r="N163" t="s">
        <v>1195</v>
      </c>
      <c r="O163" t="s">
        <v>37</v>
      </c>
      <c r="P163" t="s">
        <v>37</v>
      </c>
    </row>
    <row r="164" spans="1:16" x14ac:dyDescent="0.25">
      <c r="A164" t="s">
        <v>266</v>
      </c>
      <c r="B164" t="s">
        <v>31</v>
      </c>
      <c r="C164" t="str">
        <f t="shared" si="2"/>
        <v>NZB31_S5a</v>
      </c>
      <c r="D164" t="s">
        <v>1187</v>
      </c>
      <c r="E164" t="s">
        <v>60</v>
      </c>
      <c r="F164" t="s">
        <v>1188</v>
      </c>
      <c r="G164" t="s">
        <v>1196</v>
      </c>
      <c r="H164" t="s">
        <v>820</v>
      </c>
      <c r="I164" t="s">
        <v>36</v>
      </c>
      <c r="J164">
        <v>11</v>
      </c>
      <c r="K164">
        <v>90</v>
      </c>
      <c r="L164" t="s">
        <v>5</v>
      </c>
      <c r="M164" t="s">
        <v>132</v>
      </c>
      <c r="N164" t="s">
        <v>1197</v>
      </c>
      <c r="O164" t="s">
        <v>37</v>
      </c>
      <c r="P164" t="s">
        <v>1198</v>
      </c>
    </row>
    <row r="165" spans="1:16" x14ac:dyDescent="0.25">
      <c r="A165" t="s">
        <v>266</v>
      </c>
      <c r="B165" t="s">
        <v>31</v>
      </c>
      <c r="C165" t="str">
        <f t="shared" si="2"/>
        <v>NZB31_S5b</v>
      </c>
      <c r="D165" t="s">
        <v>1187</v>
      </c>
      <c r="E165" t="s">
        <v>63</v>
      </c>
      <c r="F165" t="s">
        <v>1188</v>
      </c>
      <c r="G165" t="s">
        <v>1199</v>
      </c>
      <c r="H165" t="s">
        <v>820</v>
      </c>
      <c r="I165" t="s">
        <v>36</v>
      </c>
      <c r="J165">
        <v>11</v>
      </c>
      <c r="K165">
        <v>70</v>
      </c>
      <c r="L165" t="s">
        <v>5</v>
      </c>
      <c r="M165" t="s">
        <v>132</v>
      </c>
      <c r="N165" t="s">
        <v>1197</v>
      </c>
      <c r="O165" t="s">
        <v>37</v>
      </c>
      <c r="P165" t="s">
        <v>1200</v>
      </c>
    </row>
    <row r="166" spans="1:16" x14ac:dyDescent="0.25">
      <c r="A166" t="s">
        <v>266</v>
      </c>
      <c r="B166" t="s">
        <v>31</v>
      </c>
      <c r="C166" t="str">
        <f t="shared" si="2"/>
        <v>NZB32_S1</v>
      </c>
      <c r="D166" t="s">
        <v>1201</v>
      </c>
      <c r="E166">
        <v>1</v>
      </c>
      <c r="F166" t="s">
        <v>1202</v>
      </c>
      <c r="G166" t="s">
        <v>54</v>
      </c>
      <c r="H166" t="s">
        <v>820</v>
      </c>
      <c r="I166" t="s">
        <v>36</v>
      </c>
      <c r="J166">
        <v>11</v>
      </c>
      <c r="K166">
        <v>0</v>
      </c>
      <c r="L166" t="s">
        <v>5</v>
      </c>
      <c r="M166" t="s">
        <v>37</v>
      </c>
      <c r="N166" t="s">
        <v>127</v>
      </c>
      <c r="O166" t="s">
        <v>1203</v>
      </c>
      <c r="P166" t="s">
        <v>37</v>
      </c>
    </row>
    <row r="167" spans="1:16" x14ac:dyDescent="0.25">
      <c r="A167" t="s">
        <v>266</v>
      </c>
      <c r="B167" t="s">
        <v>31</v>
      </c>
      <c r="C167" t="str">
        <f t="shared" si="2"/>
        <v>NZB32_S2</v>
      </c>
      <c r="D167" t="s">
        <v>1201</v>
      </c>
      <c r="E167">
        <v>2</v>
      </c>
      <c r="F167" t="s">
        <v>1202</v>
      </c>
      <c r="G167" t="s">
        <v>49</v>
      </c>
      <c r="H167" t="s">
        <v>820</v>
      </c>
      <c r="I167" t="s">
        <v>36</v>
      </c>
      <c r="J167">
        <v>11</v>
      </c>
      <c r="K167">
        <v>0</v>
      </c>
      <c r="L167" t="s">
        <v>5</v>
      </c>
      <c r="M167" t="s">
        <v>37</v>
      </c>
      <c r="N167" t="s">
        <v>1204</v>
      </c>
      <c r="O167" t="s">
        <v>1203</v>
      </c>
      <c r="P167" t="s">
        <v>37</v>
      </c>
    </row>
    <row r="168" spans="1:16" x14ac:dyDescent="0.25">
      <c r="A168" t="s">
        <v>266</v>
      </c>
      <c r="B168" t="s">
        <v>31</v>
      </c>
      <c r="C168" t="str">
        <f t="shared" si="2"/>
        <v>NZB33_S1</v>
      </c>
      <c r="D168" t="s">
        <v>1205</v>
      </c>
      <c r="E168">
        <v>1</v>
      </c>
      <c r="F168" t="s">
        <v>1206</v>
      </c>
      <c r="G168" t="s">
        <v>54</v>
      </c>
      <c r="H168" t="s">
        <v>820</v>
      </c>
      <c r="I168" t="s">
        <v>36</v>
      </c>
      <c r="J168">
        <v>12</v>
      </c>
      <c r="K168">
        <v>0</v>
      </c>
      <c r="L168" t="s">
        <v>5</v>
      </c>
      <c r="M168" t="s">
        <v>131</v>
      </c>
      <c r="N168" t="s">
        <v>912</v>
      </c>
      <c r="O168" t="s">
        <v>1207</v>
      </c>
      <c r="P168" t="s">
        <v>37</v>
      </c>
    </row>
    <row r="169" spans="1:16" x14ac:dyDescent="0.25">
      <c r="A169" t="s">
        <v>266</v>
      </c>
      <c r="B169" t="s">
        <v>31</v>
      </c>
      <c r="C169" t="str">
        <f t="shared" si="2"/>
        <v>NZB33_S2</v>
      </c>
      <c r="D169" t="s">
        <v>1205</v>
      </c>
      <c r="E169">
        <v>2</v>
      </c>
      <c r="F169" t="s">
        <v>1206</v>
      </c>
      <c r="G169" t="s">
        <v>1208</v>
      </c>
      <c r="H169" t="s">
        <v>820</v>
      </c>
      <c r="I169" t="s">
        <v>36</v>
      </c>
      <c r="J169">
        <v>12</v>
      </c>
      <c r="K169">
        <v>25</v>
      </c>
      <c r="L169" t="s">
        <v>5</v>
      </c>
      <c r="M169" t="s">
        <v>131</v>
      </c>
      <c r="N169" t="s">
        <v>1209</v>
      </c>
      <c r="O169" t="s">
        <v>1207</v>
      </c>
      <c r="P169" t="s">
        <v>37</v>
      </c>
    </row>
    <row r="170" spans="1:16" x14ac:dyDescent="0.25">
      <c r="A170" t="s">
        <v>266</v>
      </c>
      <c r="B170" t="s">
        <v>31</v>
      </c>
      <c r="C170" t="str">
        <f t="shared" si="2"/>
        <v>NZB33_S3</v>
      </c>
      <c r="D170" t="s">
        <v>1205</v>
      </c>
      <c r="E170">
        <v>3</v>
      </c>
      <c r="F170" t="s">
        <v>1206</v>
      </c>
      <c r="G170" t="s">
        <v>1210</v>
      </c>
      <c r="H170" t="s">
        <v>820</v>
      </c>
      <c r="I170" t="s">
        <v>36</v>
      </c>
      <c r="J170">
        <v>12</v>
      </c>
      <c r="K170">
        <v>25</v>
      </c>
      <c r="L170" t="s">
        <v>5</v>
      </c>
      <c r="M170" t="s">
        <v>131</v>
      </c>
      <c r="N170" t="s">
        <v>1211</v>
      </c>
      <c r="O170" t="s">
        <v>37</v>
      </c>
      <c r="P170" t="s">
        <v>37</v>
      </c>
    </row>
    <row r="171" spans="1:16" x14ac:dyDescent="0.25">
      <c r="A171" t="s">
        <v>266</v>
      </c>
      <c r="B171" t="s">
        <v>31</v>
      </c>
      <c r="C171" t="str">
        <f t="shared" si="2"/>
        <v>NZB33_S4</v>
      </c>
      <c r="D171" t="s">
        <v>1205</v>
      </c>
      <c r="E171">
        <v>4</v>
      </c>
      <c r="F171" t="s">
        <v>1206</v>
      </c>
      <c r="G171" t="s">
        <v>1212</v>
      </c>
      <c r="H171" t="s">
        <v>820</v>
      </c>
      <c r="I171" t="s">
        <v>36</v>
      </c>
      <c r="J171">
        <v>12</v>
      </c>
      <c r="K171">
        <v>50</v>
      </c>
      <c r="L171" t="s">
        <v>5</v>
      </c>
      <c r="M171" t="s">
        <v>131</v>
      </c>
      <c r="N171" t="s">
        <v>1213</v>
      </c>
      <c r="O171" t="s">
        <v>37</v>
      </c>
      <c r="P171" t="s">
        <v>37</v>
      </c>
    </row>
    <row r="172" spans="1:16" x14ac:dyDescent="0.25">
      <c r="A172" t="s">
        <v>266</v>
      </c>
      <c r="B172" t="s">
        <v>31</v>
      </c>
      <c r="C172" t="str">
        <f t="shared" si="2"/>
        <v>NZB33_S5</v>
      </c>
      <c r="D172" t="s">
        <v>1205</v>
      </c>
      <c r="E172">
        <v>5</v>
      </c>
      <c r="F172" t="s">
        <v>1206</v>
      </c>
      <c r="G172" t="s">
        <v>49</v>
      </c>
      <c r="H172" t="s">
        <v>820</v>
      </c>
      <c r="I172" t="s">
        <v>36</v>
      </c>
      <c r="J172">
        <v>12</v>
      </c>
      <c r="K172">
        <v>50</v>
      </c>
      <c r="L172" t="s">
        <v>5</v>
      </c>
      <c r="M172" t="s">
        <v>131</v>
      </c>
      <c r="N172" t="s">
        <v>1214</v>
      </c>
      <c r="O172" t="s">
        <v>37</v>
      </c>
      <c r="P172" t="s">
        <v>37</v>
      </c>
    </row>
    <row r="173" spans="1:16" x14ac:dyDescent="0.25">
      <c r="A173" t="s">
        <v>266</v>
      </c>
      <c r="B173" t="s">
        <v>31</v>
      </c>
      <c r="C173" t="str">
        <f t="shared" si="2"/>
        <v>NZB34_S1</v>
      </c>
      <c r="D173" t="s">
        <v>1215</v>
      </c>
      <c r="E173">
        <v>1</v>
      </c>
      <c r="F173" t="s">
        <v>1216</v>
      </c>
      <c r="G173" t="s">
        <v>54</v>
      </c>
      <c r="H173" t="s">
        <v>820</v>
      </c>
      <c r="I173" t="s">
        <v>36</v>
      </c>
      <c r="J173">
        <v>12</v>
      </c>
      <c r="K173">
        <v>0</v>
      </c>
      <c r="L173" t="s">
        <v>5</v>
      </c>
      <c r="M173" t="s">
        <v>131</v>
      </c>
      <c r="N173" t="s">
        <v>868</v>
      </c>
      <c r="O173" t="s">
        <v>1217</v>
      </c>
      <c r="P173" t="s">
        <v>37</v>
      </c>
    </row>
    <row r="174" spans="1:16" x14ac:dyDescent="0.25">
      <c r="A174" t="s">
        <v>266</v>
      </c>
      <c r="B174" t="s">
        <v>31</v>
      </c>
      <c r="C174" t="str">
        <f t="shared" si="2"/>
        <v>NZB34_S2</v>
      </c>
      <c r="D174" t="s">
        <v>1215</v>
      </c>
      <c r="E174">
        <v>2</v>
      </c>
      <c r="F174" t="s">
        <v>1216</v>
      </c>
      <c r="G174" t="s">
        <v>1218</v>
      </c>
      <c r="H174" t="s">
        <v>820</v>
      </c>
      <c r="I174" t="s">
        <v>36</v>
      </c>
      <c r="J174">
        <v>12</v>
      </c>
      <c r="K174">
        <v>10</v>
      </c>
      <c r="L174" t="s">
        <v>5</v>
      </c>
      <c r="M174" t="s">
        <v>131</v>
      </c>
      <c r="N174" t="s">
        <v>1219</v>
      </c>
      <c r="O174" t="s">
        <v>1217</v>
      </c>
      <c r="P174" t="s">
        <v>37</v>
      </c>
    </row>
    <row r="175" spans="1:16" x14ac:dyDescent="0.25">
      <c r="A175" t="s">
        <v>266</v>
      </c>
      <c r="B175" t="s">
        <v>31</v>
      </c>
      <c r="C175" t="str">
        <f t="shared" si="2"/>
        <v>NZB34_S3</v>
      </c>
      <c r="D175" t="s">
        <v>1215</v>
      </c>
      <c r="E175">
        <v>3</v>
      </c>
      <c r="F175" t="s">
        <v>1216</v>
      </c>
      <c r="G175" t="s">
        <v>1220</v>
      </c>
      <c r="H175" t="s">
        <v>820</v>
      </c>
      <c r="I175" t="s">
        <v>36</v>
      </c>
      <c r="J175">
        <v>12</v>
      </c>
      <c r="K175">
        <v>25</v>
      </c>
      <c r="L175" t="s">
        <v>5</v>
      </c>
      <c r="M175" t="s">
        <v>131</v>
      </c>
      <c r="N175" t="s">
        <v>1221</v>
      </c>
      <c r="O175" t="s">
        <v>37</v>
      </c>
      <c r="P175" t="s">
        <v>37</v>
      </c>
    </row>
    <row r="176" spans="1:16" x14ac:dyDescent="0.25">
      <c r="A176" t="s">
        <v>266</v>
      </c>
      <c r="B176" t="s">
        <v>31</v>
      </c>
      <c r="C176" t="str">
        <f t="shared" si="2"/>
        <v>NZB34_S4</v>
      </c>
      <c r="D176" t="s">
        <v>1215</v>
      </c>
      <c r="E176">
        <v>4</v>
      </c>
      <c r="F176" t="s">
        <v>1216</v>
      </c>
      <c r="G176" t="s">
        <v>1177</v>
      </c>
      <c r="H176" t="s">
        <v>820</v>
      </c>
      <c r="I176" t="s">
        <v>36</v>
      </c>
      <c r="J176">
        <v>12</v>
      </c>
      <c r="K176">
        <v>25</v>
      </c>
      <c r="L176" t="s">
        <v>5</v>
      </c>
      <c r="M176" t="s">
        <v>131</v>
      </c>
      <c r="N176" t="s">
        <v>1222</v>
      </c>
      <c r="O176" t="s">
        <v>37</v>
      </c>
      <c r="P176" t="s">
        <v>37</v>
      </c>
    </row>
    <row r="177" spans="1:16" x14ac:dyDescent="0.25">
      <c r="A177" t="s">
        <v>266</v>
      </c>
      <c r="B177" t="s">
        <v>31</v>
      </c>
      <c r="C177" t="str">
        <f t="shared" si="2"/>
        <v>NZB35_S1</v>
      </c>
      <c r="D177" t="s">
        <v>1223</v>
      </c>
      <c r="E177">
        <v>1</v>
      </c>
      <c r="F177" t="s">
        <v>1224</v>
      </c>
      <c r="G177" t="s">
        <v>54</v>
      </c>
      <c r="H177" t="s">
        <v>820</v>
      </c>
      <c r="I177" t="s">
        <v>36</v>
      </c>
      <c r="J177">
        <v>12</v>
      </c>
      <c r="K177">
        <v>0</v>
      </c>
      <c r="L177" t="s">
        <v>5</v>
      </c>
      <c r="M177" t="s">
        <v>37</v>
      </c>
      <c r="N177" t="s">
        <v>127</v>
      </c>
      <c r="O177" t="s">
        <v>1225</v>
      </c>
      <c r="P177" t="s">
        <v>37</v>
      </c>
    </row>
    <row r="178" spans="1:16" x14ac:dyDescent="0.25">
      <c r="A178" t="s">
        <v>266</v>
      </c>
      <c r="B178" t="s">
        <v>31</v>
      </c>
      <c r="C178" t="str">
        <f t="shared" si="2"/>
        <v>NZB35_S2</v>
      </c>
      <c r="D178" t="s">
        <v>1223</v>
      </c>
      <c r="E178">
        <v>2</v>
      </c>
      <c r="F178" t="s">
        <v>1224</v>
      </c>
      <c r="G178" t="s">
        <v>1226</v>
      </c>
      <c r="H178" t="s">
        <v>820</v>
      </c>
      <c r="I178" t="s">
        <v>36</v>
      </c>
      <c r="J178">
        <v>12</v>
      </c>
      <c r="K178">
        <v>25</v>
      </c>
      <c r="L178" t="s">
        <v>5</v>
      </c>
      <c r="M178" t="s">
        <v>37</v>
      </c>
      <c r="N178" t="s">
        <v>1227</v>
      </c>
      <c r="O178" t="s">
        <v>1225</v>
      </c>
      <c r="P178" t="s">
        <v>37</v>
      </c>
    </row>
    <row r="179" spans="1:16" x14ac:dyDescent="0.25">
      <c r="A179" t="s">
        <v>266</v>
      </c>
      <c r="B179" t="s">
        <v>31</v>
      </c>
      <c r="C179" t="str">
        <f t="shared" si="2"/>
        <v>NZB35_S3</v>
      </c>
      <c r="D179" t="s">
        <v>1223</v>
      </c>
      <c r="E179">
        <v>3</v>
      </c>
      <c r="F179" t="s">
        <v>1224</v>
      </c>
      <c r="G179" t="s">
        <v>233</v>
      </c>
      <c r="H179" t="s">
        <v>820</v>
      </c>
      <c r="I179" t="s">
        <v>36</v>
      </c>
      <c r="J179">
        <v>12</v>
      </c>
      <c r="K179">
        <v>25</v>
      </c>
      <c r="L179" t="s">
        <v>5</v>
      </c>
      <c r="M179" t="s">
        <v>37</v>
      </c>
      <c r="N179" t="s">
        <v>1228</v>
      </c>
      <c r="O179" t="s">
        <v>37</v>
      </c>
      <c r="P179" t="s">
        <v>37</v>
      </c>
    </row>
    <row r="180" spans="1:16" x14ac:dyDescent="0.25">
      <c r="A180" t="s">
        <v>266</v>
      </c>
      <c r="B180" t="s">
        <v>31</v>
      </c>
      <c r="C180" t="str">
        <f t="shared" si="2"/>
        <v>NZB36_S1</v>
      </c>
      <c r="D180" t="s">
        <v>1229</v>
      </c>
      <c r="E180">
        <v>1</v>
      </c>
      <c r="F180" t="s">
        <v>1230</v>
      </c>
      <c r="G180" t="s">
        <v>54</v>
      </c>
      <c r="H180" t="s">
        <v>820</v>
      </c>
      <c r="I180" t="s">
        <v>36</v>
      </c>
      <c r="J180">
        <v>12</v>
      </c>
      <c r="K180">
        <v>0</v>
      </c>
      <c r="L180" t="s">
        <v>5</v>
      </c>
      <c r="M180" t="s">
        <v>131</v>
      </c>
      <c r="N180" t="s">
        <v>1231</v>
      </c>
      <c r="O180" t="s">
        <v>1232</v>
      </c>
      <c r="P180" t="s">
        <v>37</v>
      </c>
    </row>
    <row r="181" spans="1:16" x14ac:dyDescent="0.25">
      <c r="A181" t="s">
        <v>266</v>
      </c>
      <c r="B181" t="s">
        <v>31</v>
      </c>
      <c r="C181" t="str">
        <f t="shared" si="2"/>
        <v>NZB36_S2</v>
      </c>
      <c r="D181" t="s">
        <v>1229</v>
      </c>
      <c r="E181">
        <v>2</v>
      </c>
      <c r="F181" t="s">
        <v>1230</v>
      </c>
      <c r="G181" t="s">
        <v>49</v>
      </c>
      <c r="H181" t="s">
        <v>820</v>
      </c>
      <c r="I181" t="s">
        <v>36</v>
      </c>
      <c r="J181">
        <v>12</v>
      </c>
      <c r="K181">
        <v>0</v>
      </c>
      <c r="L181" t="s">
        <v>5</v>
      </c>
      <c r="M181" t="s">
        <v>131</v>
      </c>
      <c r="N181" t="s">
        <v>1233</v>
      </c>
      <c r="O181" t="s">
        <v>1232</v>
      </c>
      <c r="P181" t="s">
        <v>37</v>
      </c>
    </row>
    <row r="182" spans="1:16" x14ac:dyDescent="0.25">
      <c r="A182" t="s">
        <v>266</v>
      </c>
      <c r="B182" t="s">
        <v>31</v>
      </c>
      <c r="C182" t="str">
        <f t="shared" si="2"/>
        <v>NZB37_S1</v>
      </c>
      <c r="D182" t="s">
        <v>1234</v>
      </c>
      <c r="E182">
        <v>1</v>
      </c>
      <c r="F182" t="s">
        <v>1235</v>
      </c>
      <c r="G182" t="s">
        <v>54</v>
      </c>
      <c r="H182" t="s">
        <v>820</v>
      </c>
      <c r="I182" t="s">
        <v>36</v>
      </c>
      <c r="J182">
        <v>12</v>
      </c>
      <c r="K182">
        <v>0</v>
      </c>
      <c r="L182" t="s">
        <v>5</v>
      </c>
      <c r="M182" t="s">
        <v>131</v>
      </c>
      <c r="N182" t="s">
        <v>889</v>
      </c>
      <c r="O182" t="s">
        <v>1236</v>
      </c>
      <c r="P182" t="s">
        <v>37</v>
      </c>
    </row>
    <row r="183" spans="1:16" x14ac:dyDescent="0.25">
      <c r="A183" t="s">
        <v>266</v>
      </c>
      <c r="B183" t="s">
        <v>31</v>
      </c>
      <c r="C183" t="str">
        <f t="shared" si="2"/>
        <v>NZB37_S2</v>
      </c>
      <c r="D183" t="s">
        <v>1234</v>
      </c>
      <c r="E183">
        <v>2</v>
      </c>
      <c r="F183" t="s">
        <v>1235</v>
      </c>
      <c r="G183" t="s">
        <v>49</v>
      </c>
      <c r="H183" t="s">
        <v>820</v>
      </c>
      <c r="I183" t="s">
        <v>36</v>
      </c>
      <c r="J183">
        <v>12</v>
      </c>
      <c r="K183">
        <v>50</v>
      </c>
      <c r="L183" t="s">
        <v>5</v>
      </c>
      <c r="M183" t="s">
        <v>131</v>
      </c>
      <c r="N183" t="s">
        <v>1237</v>
      </c>
      <c r="O183" t="s">
        <v>1236</v>
      </c>
      <c r="P183" t="s">
        <v>37</v>
      </c>
    </row>
    <row r="184" spans="1:16" x14ac:dyDescent="0.25">
      <c r="A184" t="s">
        <v>266</v>
      </c>
      <c r="B184" t="s">
        <v>31</v>
      </c>
      <c r="C184" t="str">
        <f t="shared" si="2"/>
        <v>NZB38_S1</v>
      </c>
      <c r="D184" t="s">
        <v>1238</v>
      </c>
      <c r="E184">
        <v>1</v>
      </c>
      <c r="F184" t="s">
        <v>1239</v>
      </c>
      <c r="G184" t="s">
        <v>54</v>
      </c>
      <c r="H184" t="s">
        <v>820</v>
      </c>
      <c r="I184" t="s">
        <v>36</v>
      </c>
      <c r="J184">
        <v>12</v>
      </c>
      <c r="K184">
        <v>0</v>
      </c>
      <c r="L184" t="s">
        <v>5</v>
      </c>
      <c r="M184" t="s">
        <v>1240</v>
      </c>
      <c r="N184" t="s">
        <v>127</v>
      </c>
      <c r="O184" t="s">
        <v>1241</v>
      </c>
      <c r="P184" t="s">
        <v>37</v>
      </c>
    </row>
    <row r="185" spans="1:16" x14ac:dyDescent="0.25">
      <c r="A185" t="s">
        <v>266</v>
      </c>
      <c r="B185" t="s">
        <v>31</v>
      </c>
      <c r="C185" t="str">
        <f t="shared" si="2"/>
        <v>NZB38_S2</v>
      </c>
      <c r="D185" t="s">
        <v>1238</v>
      </c>
      <c r="E185">
        <v>2</v>
      </c>
      <c r="F185" t="s">
        <v>1239</v>
      </c>
      <c r="G185" t="s">
        <v>49</v>
      </c>
      <c r="H185" t="s">
        <v>820</v>
      </c>
      <c r="I185" t="s">
        <v>36</v>
      </c>
      <c r="J185">
        <v>12</v>
      </c>
      <c r="K185">
        <v>50</v>
      </c>
      <c r="L185" t="s">
        <v>5</v>
      </c>
      <c r="M185" t="s">
        <v>1240</v>
      </c>
      <c r="N185" t="s">
        <v>1242</v>
      </c>
      <c r="O185" t="s">
        <v>1241</v>
      </c>
      <c r="P185" t="s">
        <v>37</v>
      </c>
    </row>
    <row r="186" spans="1:16" x14ac:dyDescent="0.25">
      <c r="A186" t="s">
        <v>266</v>
      </c>
      <c r="B186" t="s">
        <v>31</v>
      </c>
      <c r="C186" t="str">
        <f t="shared" si="2"/>
        <v>NZB39_S1</v>
      </c>
      <c r="D186" t="s">
        <v>1243</v>
      </c>
      <c r="E186">
        <v>1</v>
      </c>
      <c r="F186" t="s">
        <v>1244</v>
      </c>
      <c r="G186" t="s">
        <v>54</v>
      </c>
      <c r="H186" t="s">
        <v>820</v>
      </c>
      <c r="I186" t="s">
        <v>36</v>
      </c>
      <c r="J186">
        <v>12</v>
      </c>
      <c r="K186">
        <v>0</v>
      </c>
      <c r="L186" t="s">
        <v>5</v>
      </c>
      <c r="M186" t="s">
        <v>131</v>
      </c>
      <c r="N186" t="s">
        <v>903</v>
      </c>
      <c r="O186" t="s">
        <v>1245</v>
      </c>
      <c r="P186" t="s">
        <v>37</v>
      </c>
    </row>
    <row r="187" spans="1:16" x14ac:dyDescent="0.25">
      <c r="A187" t="s">
        <v>266</v>
      </c>
      <c r="B187" t="s">
        <v>31</v>
      </c>
      <c r="C187" t="str">
        <f t="shared" si="2"/>
        <v>NZB39_S2</v>
      </c>
      <c r="D187" t="s">
        <v>1243</v>
      </c>
      <c r="E187">
        <v>2</v>
      </c>
      <c r="F187" t="s">
        <v>1244</v>
      </c>
      <c r="G187" t="s">
        <v>1246</v>
      </c>
      <c r="H187" t="s">
        <v>820</v>
      </c>
      <c r="I187" t="s">
        <v>36</v>
      </c>
      <c r="J187">
        <v>12</v>
      </c>
      <c r="K187">
        <v>50</v>
      </c>
      <c r="L187" t="s">
        <v>5</v>
      </c>
      <c r="M187" t="s">
        <v>131</v>
      </c>
      <c r="N187" t="s">
        <v>1247</v>
      </c>
      <c r="O187" t="s">
        <v>1245</v>
      </c>
      <c r="P187" t="s">
        <v>37</v>
      </c>
    </row>
    <row r="188" spans="1:16" x14ac:dyDescent="0.25">
      <c r="A188" t="s">
        <v>266</v>
      </c>
      <c r="B188" t="s">
        <v>31</v>
      </c>
      <c r="C188" t="str">
        <f t="shared" si="2"/>
        <v>NZB39_S3</v>
      </c>
      <c r="D188" t="s">
        <v>1243</v>
      </c>
      <c r="E188">
        <v>3</v>
      </c>
      <c r="F188" t="s">
        <v>1244</v>
      </c>
      <c r="G188" t="s">
        <v>1248</v>
      </c>
      <c r="H188" t="s">
        <v>820</v>
      </c>
      <c r="I188" t="s">
        <v>36</v>
      </c>
      <c r="J188">
        <v>12</v>
      </c>
      <c r="K188">
        <v>70</v>
      </c>
      <c r="L188" t="s">
        <v>5</v>
      </c>
      <c r="M188" t="s">
        <v>131</v>
      </c>
      <c r="N188" t="s">
        <v>1249</v>
      </c>
      <c r="O188" t="s">
        <v>37</v>
      </c>
      <c r="P188" t="s">
        <v>37</v>
      </c>
    </row>
    <row r="189" spans="1:16" x14ac:dyDescent="0.25">
      <c r="A189" t="s">
        <v>266</v>
      </c>
      <c r="B189" t="s">
        <v>31</v>
      </c>
      <c r="C189" t="str">
        <f t="shared" si="2"/>
        <v>NZB39_S4</v>
      </c>
      <c r="D189" t="s">
        <v>1243</v>
      </c>
      <c r="E189">
        <v>4</v>
      </c>
      <c r="F189" t="s">
        <v>1244</v>
      </c>
      <c r="G189" t="s">
        <v>49</v>
      </c>
      <c r="H189" t="s">
        <v>820</v>
      </c>
      <c r="I189" t="s">
        <v>36</v>
      </c>
      <c r="J189">
        <v>12</v>
      </c>
      <c r="K189">
        <v>50</v>
      </c>
      <c r="L189" t="s">
        <v>5</v>
      </c>
      <c r="M189" t="s">
        <v>131</v>
      </c>
      <c r="N189" t="s">
        <v>1250</v>
      </c>
      <c r="O189" t="s">
        <v>37</v>
      </c>
      <c r="P189" t="s">
        <v>37</v>
      </c>
    </row>
    <row r="190" spans="1:16" x14ac:dyDescent="0.25">
      <c r="A190" t="s">
        <v>266</v>
      </c>
      <c r="B190" t="s">
        <v>31</v>
      </c>
      <c r="C190" t="str">
        <f t="shared" si="2"/>
        <v>NZB40_S1</v>
      </c>
      <c r="D190" t="s">
        <v>1251</v>
      </c>
      <c r="E190">
        <v>1</v>
      </c>
      <c r="F190" t="s">
        <v>1252</v>
      </c>
      <c r="G190" t="s">
        <v>54</v>
      </c>
      <c r="H190" t="s">
        <v>820</v>
      </c>
      <c r="I190" t="s">
        <v>36</v>
      </c>
      <c r="J190">
        <v>13</v>
      </c>
      <c r="K190">
        <v>0</v>
      </c>
      <c r="L190" t="s">
        <v>5</v>
      </c>
      <c r="M190" t="s">
        <v>37</v>
      </c>
      <c r="N190" t="s">
        <v>127</v>
      </c>
      <c r="O190" t="s">
        <v>1253</v>
      </c>
      <c r="P190" t="s">
        <v>37</v>
      </c>
    </row>
    <row r="191" spans="1:16" x14ac:dyDescent="0.25">
      <c r="A191" t="s">
        <v>266</v>
      </c>
      <c r="B191" t="s">
        <v>31</v>
      </c>
      <c r="C191" t="str">
        <f t="shared" si="2"/>
        <v>NZB40_S2</v>
      </c>
      <c r="D191" t="s">
        <v>1251</v>
      </c>
      <c r="E191">
        <v>2</v>
      </c>
      <c r="F191" t="s">
        <v>1252</v>
      </c>
      <c r="G191" t="s">
        <v>49</v>
      </c>
      <c r="H191" t="s">
        <v>820</v>
      </c>
      <c r="I191" t="s">
        <v>36</v>
      </c>
      <c r="J191">
        <v>13</v>
      </c>
      <c r="K191">
        <v>25</v>
      </c>
      <c r="L191" t="s">
        <v>5</v>
      </c>
      <c r="M191" t="s">
        <v>37</v>
      </c>
      <c r="N191" t="s">
        <v>1254</v>
      </c>
      <c r="O191" t="s">
        <v>1253</v>
      </c>
      <c r="P191" t="s">
        <v>37</v>
      </c>
    </row>
    <row r="192" spans="1:16" x14ac:dyDescent="0.25">
      <c r="A192" t="s">
        <v>266</v>
      </c>
      <c r="B192" t="s">
        <v>31</v>
      </c>
      <c r="C192" t="str">
        <f t="shared" si="2"/>
        <v>NZB41_S1</v>
      </c>
      <c r="D192" t="s">
        <v>1255</v>
      </c>
      <c r="E192">
        <v>1</v>
      </c>
      <c r="F192" t="s">
        <v>1256</v>
      </c>
      <c r="G192" t="s">
        <v>54</v>
      </c>
      <c r="H192" t="s">
        <v>820</v>
      </c>
      <c r="I192" t="s">
        <v>36</v>
      </c>
      <c r="J192">
        <v>13</v>
      </c>
      <c r="K192">
        <v>0</v>
      </c>
      <c r="L192" t="s">
        <v>5</v>
      </c>
      <c r="M192" t="s">
        <v>37</v>
      </c>
      <c r="N192" t="s">
        <v>127</v>
      </c>
      <c r="O192" t="s">
        <v>1257</v>
      </c>
      <c r="P192" t="s">
        <v>37</v>
      </c>
    </row>
    <row r="193" spans="1:16" x14ac:dyDescent="0.25">
      <c r="A193" t="s">
        <v>266</v>
      </c>
      <c r="B193" t="s">
        <v>31</v>
      </c>
      <c r="C193" t="str">
        <f t="shared" si="2"/>
        <v>NZB41_S2</v>
      </c>
      <c r="D193" t="s">
        <v>1255</v>
      </c>
      <c r="E193">
        <v>2</v>
      </c>
      <c r="F193" t="s">
        <v>1256</v>
      </c>
      <c r="G193" t="s">
        <v>49</v>
      </c>
      <c r="H193" t="s">
        <v>820</v>
      </c>
      <c r="I193" t="s">
        <v>36</v>
      </c>
      <c r="J193">
        <v>13</v>
      </c>
      <c r="K193">
        <v>50</v>
      </c>
      <c r="L193" t="s">
        <v>5</v>
      </c>
      <c r="M193" t="s">
        <v>37</v>
      </c>
      <c r="N193" t="s">
        <v>1258</v>
      </c>
      <c r="O193" t="s">
        <v>1257</v>
      </c>
      <c r="P193" t="s">
        <v>37</v>
      </c>
    </row>
    <row r="194" spans="1:16" x14ac:dyDescent="0.25">
      <c r="A194" t="s">
        <v>266</v>
      </c>
      <c r="B194" t="s">
        <v>31</v>
      </c>
      <c r="C194" t="str">
        <f t="shared" ref="C194:C257" si="3">_xlfn.CONCAT(D194,"_S",E194)</f>
        <v>NZB42_S1</v>
      </c>
      <c r="D194" t="s">
        <v>1259</v>
      </c>
      <c r="E194">
        <v>1</v>
      </c>
      <c r="F194" t="s">
        <v>1260</v>
      </c>
      <c r="G194" t="s">
        <v>54</v>
      </c>
      <c r="H194" t="s">
        <v>820</v>
      </c>
      <c r="I194" t="s">
        <v>36</v>
      </c>
      <c r="J194">
        <v>13</v>
      </c>
      <c r="K194">
        <v>0</v>
      </c>
      <c r="L194" t="s">
        <v>5</v>
      </c>
      <c r="M194" t="s">
        <v>37</v>
      </c>
      <c r="N194" t="s">
        <v>127</v>
      </c>
      <c r="O194" t="s">
        <v>1261</v>
      </c>
      <c r="P194" t="s">
        <v>37</v>
      </c>
    </row>
    <row r="195" spans="1:16" x14ac:dyDescent="0.25">
      <c r="A195" t="s">
        <v>266</v>
      </c>
      <c r="B195" t="s">
        <v>31</v>
      </c>
      <c r="C195" t="str">
        <f t="shared" si="3"/>
        <v>NZB42_S2</v>
      </c>
      <c r="D195" t="s">
        <v>1259</v>
      </c>
      <c r="E195">
        <v>2</v>
      </c>
      <c r="F195" t="s">
        <v>1260</v>
      </c>
      <c r="G195" t="s">
        <v>49</v>
      </c>
      <c r="H195" t="s">
        <v>820</v>
      </c>
      <c r="I195" t="s">
        <v>36</v>
      </c>
      <c r="J195">
        <v>13</v>
      </c>
      <c r="K195">
        <v>25</v>
      </c>
      <c r="L195" t="s">
        <v>5</v>
      </c>
      <c r="M195" t="s">
        <v>37</v>
      </c>
      <c r="N195" t="s">
        <v>1262</v>
      </c>
      <c r="O195" t="s">
        <v>1261</v>
      </c>
      <c r="P195" t="s">
        <v>37</v>
      </c>
    </row>
    <row r="196" spans="1:16" x14ac:dyDescent="0.25">
      <c r="A196" t="s">
        <v>266</v>
      </c>
      <c r="B196" t="s">
        <v>31</v>
      </c>
      <c r="C196" t="str">
        <f t="shared" si="3"/>
        <v>NZB43_S1</v>
      </c>
      <c r="D196" t="s">
        <v>1263</v>
      </c>
      <c r="E196">
        <v>1</v>
      </c>
      <c r="F196" t="s">
        <v>1264</v>
      </c>
      <c r="G196" t="s">
        <v>54</v>
      </c>
      <c r="H196" t="s">
        <v>820</v>
      </c>
      <c r="I196" t="s">
        <v>36</v>
      </c>
      <c r="J196">
        <v>14</v>
      </c>
      <c r="K196">
        <v>0</v>
      </c>
      <c r="L196" t="s">
        <v>5</v>
      </c>
      <c r="M196" t="s">
        <v>131</v>
      </c>
      <c r="N196" t="s">
        <v>942</v>
      </c>
      <c r="O196" t="s">
        <v>1265</v>
      </c>
      <c r="P196" t="s">
        <v>37</v>
      </c>
    </row>
    <row r="197" spans="1:16" x14ac:dyDescent="0.25">
      <c r="A197" t="s">
        <v>266</v>
      </c>
      <c r="B197" t="s">
        <v>31</v>
      </c>
      <c r="C197" t="str">
        <f t="shared" si="3"/>
        <v>NZB43_S2</v>
      </c>
      <c r="D197" t="s">
        <v>1263</v>
      </c>
      <c r="E197">
        <v>2</v>
      </c>
      <c r="F197" t="s">
        <v>1264</v>
      </c>
      <c r="G197" t="s">
        <v>1266</v>
      </c>
      <c r="H197" t="s">
        <v>820</v>
      </c>
      <c r="I197" t="s">
        <v>36</v>
      </c>
      <c r="J197">
        <v>14</v>
      </c>
      <c r="K197">
        <v>50</v>
      </c>
      <c r="L197" t="s">
        <v>5</v>
      </c>
      <c r="M197" t="s">
        <v>131</v>
      </c>
      <c r="N197" t="s">
        <v>1267</v>
      </c>
      <c r="O197" t="s">
        <v>1265</v>
      </c>
      <c r="P197" t="s">
        <v>37</v>
      </c>
    </row>
    <row r="198" spans="1:16" x14ac:dyDescent="0.25">
      <c r="A198" t="s">
        <v>266</v>
      </c>
      <c r="B198" t="s">
        <v>31</v>
      </c>
      <c r="C198" t="str">
        <f t="shared" si="3"/>
        <v>NZB43_S3</v>
      </c>
      <c r="D198" t="s">
        <v>1263</v>
      </c>
      <c r="E198">
        <v>3</v>
      </c>
      <c r="F198" t="s">
        <v>1264</v>
      </c>
      <c r="G198" t="s">
        <v>1268</v>
      </c>
      <c r="H198" t="s">
        <v>820</v>
      </c>
      <c r="I198" t="s">
        <v>36</v>
      </c>
      <c r="J198">
        <v>14</v>
      </c>
      <c r="K198">
        <v>50</v>
      </c>
      <c r="L198" t="s">
        <v>5</v>
      </c>
      <c r="M198" t="s">
        <v>131</v>
      </c>
      <c r="N198" t="s">
        <v>1269</v>
      </c>
      <c r="O198" t="s">
        <v>37</v>
      </c>
      <c r="P198" t="s">
        <v>37</v>
      </c>
    </row>
    <row r="199" spans="1:16" x14ac:dyDescent="0.25">
      <c r="A199" t="s">
        <v>266</v>
      </c>
      <c r="B199" t="s">
        <v>31</v>
      </c>
      <c r="C199" t="str">
        <f t="shared" si="3"/>
        <v>NZB43_S4</v>
      </c>
      <c r="D199" t="s">
        <v>1263</v>
      </c>
      <c r="E199">
        <v>4</v>
      </c>
      <c r="F199" t="s">
        <v>1264</v>
      </c>
      <c r="G199" t="s">
        <v>1270</v>
      </c>
      <c r="H199" t="s">
        <v>820</v>
      </c>
      <c r="I199" t="s">
        <v>36</v>
      </c>
      <c r="J199">
        <v>14</v>
      </c>
      <c r="K199">
        <v>25</v>
      </c>
      <c r="L199" t="s">
        <v>5</v>
      </c>
      <c r="M199" t="s">
        <v>131</v>
      </c>
      <c r="N199" t="s">
        <v>1271</v>
      </c>
      <c r="O199" t="s">
        <v>37</v>
      </c>
      <c r="P199" t="s">
        <v>37</v>
      </c>
    </row>
    <row r="200" spans="1:16" x14ac:dyDescent="0.25">
      <c r="A200" t="s">
        <v>266</v>
      </c>
      <c r="B200" t="s">
        <v>31</v>
      </c>
      <c r="C200" t="str">
        <f t="shared" si="3"/>
        <v>NZB43_S5</v>
      </c>
      <c r="D200" t="s">
        <v>1263</v>
      </c>
      <c r="E200">
        <v>5</v>
      </c>
      <c r="F200" t="s">
        <v>1264</v>
      </c>
      <c r="G200" t="s">
        <v>1272</v>
      </c>
      <c r="H200" t="s">
        <v>820</v>
      </c>
      <c r="I200" t="s">
        <v>36</v>
      </c>
      <c r="J200">
        <v>14</v>
      </c>
      <c r="K200">
        <v>25</v>
      </c>
      <c r="L200" t="s">
        <v>5</v>
      </c>
      <c r="M200" t="s">
        <v>131</v>
      </c>
      <c r="N200" t="s">
        <v>1273</v>
      </c>
      <c r="O200" t="s">
        <v>37</v>
      </c>
      <c r="P200" t="s">
        <v>37</v>
      </c>
    </row>
    <row r="201" spans="1:16" x14ac:dyDescent="0.25">
      <c r="A201" t="s">
        <v>266</v>
      </c>
      <c r="B201" t="s">
        <v>31</v>
      </c>
      <c r="C201" t="str">
        <f t="shared" si="3"/>
        <v>NZB43_S6</v>
      </c>
      <c r="D201" t="s">
        <v>1263</v>
      </c>
      <c r="E201">
        <v>6</v>
      </c>
      <c r="F201" t="s">
        <v>1264</v>
      </c>
      <c r="G201" t="s">
        <v>1274</v>
      </c>
      <c r="H201" t="s">
        <v>820</v>
      </c>
      <c r="I201" t="s">
        <v>36</v>
      </c>
      <c r="J201">
        <v>14</v>
      </c>
      <c r="K201">
        <v>70</v>
      </c>
      <c r="L201" t="s">
        <v>5</v>
      </c>
      <c r="M201" t="s">
        <v>131</v>
      </c>
      <c r="N201" t="s">
        <v>1275</v>
      </c>
      <c r="O201" t="s">
        <v>37</v>
      </c>
      <c r="P201" t="s">
        <v>37</v>
      </c>
    </row>
    <row r="202" spans="1:16" x14ac:dyDescent="0.25">
      <c r="A202" t="s">
        <v>266</v>
      </c>
      <c r="B202" t="s">
        <v>31</v>
      </c>
      <c r="C202" t="str">
        <f t="shared" si="3"/>
        <v>NZB43_S7</v>
      </c>
      <c r="D202" t="s">
        <v>1263</v>
      </c>
      <c r="E202">
        <v>7</v>
      </c>
      <c r="F202" t="s">
        <v>1264</v>
      </c>
      <c r="G202" t="s">
        <v>233</v>
      </c>
      <c r="H202" t="s">
        <v>820</v>
      </c>
      <c r="I202" t="s">
        <v>36</v>
      </c>
      <c r="J202">
        <v>14</v>
      </c>
      <c r="K202">
        <v>50</v>
      </c>
      <c r="L202" t="s">
        <v>5</v>
      </c>
      <c r="M202" t="s">
        <v>131</v>
      </c>
      <c r="N202" t="s">
        <v>1276</v>
      </c>
      <c r="O202" t="s">
        <v>37</v>
      </c>
      <c r="P202" t="s">
        <v>37</v>
      </c>
    </row>
    <row r="203" spans="1:16" x14ac:dyDescent="0.25">
      <c r="A203" t="s">
        <v>266</v>
      </c>
      <c r="B203" t="s">
        <v>31</v>
      </c>
      <c r="C203" t="str">
        <f t="shared" si="3"/>
        <v>NZB44_S1</v>
      </c>
      <c r="D203" t="s">
        <v>1277</v>
      </c>
      <c r="E203">
        <v>1</v>
      </c>
      <c r="F203" t="s">
        <v>1278</v>
      </c>
      <c r="G203" t="s">
        <v>54</v>
      </c>
      <c r="H203" t="s">
        <v>820</v>
      </c>
      <c r="I203" t="s">
        <v>36</v>
      </c>
      <c r="J203">
        <v>14</v>
      </c>
      <c r="K203">
        <v>0</v>
      </c>
      <c r="L203" t="s">
        <v>5</v>
      </c>
      <c r="M203" t="s">
        <v>131</v>
      </c>
      <c r="N203" t="s">
        <v>1279</v>
      </c>
      <c r="O203" t="s">
        <v>1280</v>
      </c>
      <c r="P203" t="s">
        <v>37</v>
      </c>
    </row>
    <row r="204" spans="1:16" x14ac:dyDescent="0.25">
      <c r="A204" t="s">
        <v>266</v>
      </c>
      <c r="B204" t="s">
        <v>31</v>
      </c>
      <c r="C204" t="str">
        <f t="shared" si="3"/>
        <v>NZB44_S2</v>
      </c>
      <c r="D204" t="s">
        <v>1277</v>
      </c>
      <c r="E204">
        <v>2</v>
      </c>
      <c r="F204" t="s">
        <v>1278</v>
      </c>
      <c r="G204" t="s">
        <v>49</v>
      </c>
      <c r="H204" t="s">
        <v>820</v>
      </c>
      <c r="I204" t="s">
        <v>36</v>
      </c>
      <c r="J204">
        <v>14</v>
      </c>
      <c r="K204">
        <v>25</v>
      </c>
      <c r="L204" t="s">
        <v>5</v>
      </c>
      <c r="M204" t="s">
        <v>131</v>
      </c>
      <c r="N204" t="s">
        <v>1281</v>
      </c>
      <c r="O204" t="s">
        <v>1280</v>
      </c>
      <c r="P204" t="s">
        <v>37</v>
      </c>
    </row>
    <row r="205" spans="1:16" x14ac:dyDescent="0.25">
      <c r="A205" t="s">
        <v>266</v>
      </c>
      <c r="B205" t="s">
        <v>31</v>
      </c>
      <c r="C205" t="str">
        <f t="shared" si="3"/>
        <v>NZB45_S1</v>
      </c>
      <c r="D205" t="s">
        <v>1282</v>
      </c>
      <c r="E205">
        <v>1</v>
      </c>
      <c r="F205" t="s">
        <v>1283</v>
      </c>
      <c r="G205" t="s">
        <v>54</v>
      </c>
      <c r="H205" t="s">
        <v>820</v>
      </c>
      <c r="I205" t="s">
        <v>36</v>
      </c>
      <c r="J205">
        <v>14</v>
      </c>
      <c r="K205">
        <v>0</v>
      </c>
      <c r="L205" t="s">
        <v>5</v>
      </c>
      <c r="M205" t="s">
        <v>131</v>
      </c>
      <c r="N205" t="s">
        <v>912</v>
      </c>
      <c r="O205" t="s">
        <v>1284</v>
      </c>
      <c r="P205" t="s">
        <v>37</v>
      </c>
    </row>
    <row r="206" spans="1:16" x14ac:dyDescent="0.25">
      <c r="A206" t="s">
        <v>266</v>
      </c>
      <c r="B206" t="s">
        <v>31</v>
      </c>
      <c r="C206" t="str">
        <f t="shared" si="3"/>
        <v>NZB45_S2</v>
      </c>
      <c r="D206" t="s">
        <v>1282</v>
      </c>
      <c r="E206">
        <v>2</v>
      </c>
      <c r="F206" t="s">
        <v>1283</v>
      </c>
      <c r="G206" t="s">
        <v>49</v>
      </c>
      <c r="H206" t="s">
        <v>820</v>
      </c>
      <c r="I206" t="s">
        <v>36</v>
      </c>
      <c r="J206">
        <v>14</v>
      </c>
      <c r="K206">
        <v>50</v>
      </c>
      <c r="L206" t="s">
        <v>5</v>
      </c>
      <c r="M206" t="s">
        <v>131</v>
      </c>
      <c r="N206" t="s">
        <v>1285</v>
      </c>
      <c r="O206" t="s">
        <v>1284</v>
      </c>
      <c r="P206" t="s">
        <v>37</v>
      </c>
    </row>
    <row r="207" spans="1:16" x14ac:dyDescent="0.25">
      <c r="A207" t="s">
        <v>266</v>
      </c>
      <c r="B207" t="s">
        <v>31</v>
      </c>
      <c r="C207" t="str">
        <f t="shared" si="3"/>
        <v>NZB46_S1</v>
      </c>
      <c r="D207" t="s">
        <v>1286</v>
      </c>
      <c r="E207">
        <v>1</v>
      </c>
      <c r="F207" t="s">
        <v>1287</v>
      </c>
      <c r="G207" t="s">
        <v>54</v>
      </c>
      <c r="H207" t="s">
        <v>820</v>
      </c>
      <c r="I207" t="s">
        <v>36</v>
      </c>
      <c r="J207">
        <v>14</v>
      </c>
      <c r="K207">
        <v>0</v>
      </c>
      <c r="L207" t="s">
        <v>5</v>
      </c>
      <c r="M207" t="s">
        <v>1279</v>
      </c>
      <c r="N207" t="s">
        <v>912</v>
      </c>
      <c r="O207" t="s">
        <v>1288</v>
      </c>
      <c r="P207" t="s">
        <v>37</v>
      </c>
    </row>
    <row r="208" spans="1:16" x14ac:dyDescent="0.25">
      <c r="A208" t="s">
        <v>266</v>
      </c>
      <c r="B208" t="s">
        <v>31</v>
      </c>
      <c r="C208" t="str">
        <f t="shared" si="3"/>
        <v>NZB46_S2</v>
      </c>
      <c r="D208" t="s">
        <v>1286</v>
      </c>
      <c r="E208">
        <v>2</v>
      </c>
      <c r="F208" t="s">
        <v>1287</v>
      </c>
      <c r="G208" t="s">
        <v>49</v>
      </c>
      <c r="H208" t="s">
        <v>820</v>
      </c>
      <c r="I208" t="s">
        <v>36</v>
      </c>
      <c r="J208">
        <v>14</v>
      </c>
      <c r="K208">
        <v>10</v>
      </c>
      <c r="L208" t="s">
        <v>5</v>
      </c>
      <c r="M208" t="s">
        <v>1279</v>
      </c>
      <c r="N208" t="s">
        <v>1289</v>
      </c>
      <c r="O208" t="s">
        <v>1288</v>
      </c>
      <c r="P208" t="s">
        <v>37</v>
      </c>
    </row>
    <row r="209" spans="1:16" x14ac:dyDescent="0.25">
      <c r="A209" t="s">
        <v>266</v>
      </c>
      <c r="B209" t="s">
        <v>31</v>
      </c>
      <c r="C209" t="str">
        <f t="shared" si="3"/>
        <v>NZB47_S1</v>
      </c>
      <c r="D209" t="s">
        <v>1290</v>
      </c>
      <c r="E209">
        <v>1</v>
      </c>
      <c r="F209" t="s">
        <v>1291</v>
      </c>
      <c r="G209" t="s">
        <v>54</v>
      </c>
      <c r="H209" t="s">
        <v>820</v>
      </c>
      <c r="I209" t="s">
        <v>36</v>
      </c>
      <c r="J209">
        <v>14</v>
      </c>
      <c r="K209">
        <v>0</v>
      </c>
      <c r="L209" t="s">
        <v>5</v>
      </c>
      <c r="M209" t="s">
        <v>131</v>
      </c>
      <c r="N209" t="s">
        <v>903</v>
      </c>
      <c r="O209" t="s">
        <v>1292</v>
      </c>
      <c r="P209" t="s">
        <v>37</v>
      </c>
    </row>
    <row r="210" spans="1:16" x14ac:dyDescent="0.25">
      <c r="A210" t="s">
        <v>266</v>
      </c>
      <c r="B210" t="s">
        <v>31</v>
      </c>
      <c r="C210" t="str">
        <f t="shared" si="3"/>
        <v>NZB47_S2</v>
      </c>
      <c r="D210" t="s">
        <v>1290</v>
      </c>
      <c r="E210">
        <v>2</v>
      </c>
      <c r="F210" t="s">
        <v>1291</v>
      </c>
      <c r="G210" t="s">
        <v>1293</v>
      </c>
      <c r="H210" t="s">
        <v>820</v>
      </c>
      <c r="I210" t="s">
        <v>36</v>
      </c>
      <c r="J210">
        <v>14</v>
      </c>
      <c r="K210">
        <v>200</v>
      </c>
      <c r="L210" t="s">
        <v>5</v>
      </c>
      <c r="M210" t="s">
        <v>131</v>
      </c>
      <c r="N210" t="s">
        <v>1294</v>
      </c>
      <c r="O210" t="s">
        <v>1292</v>
      </c>
      <c r="P210" t="s">
        <v>37</v>
      </c>
    </row>
    <row r="211" spans="1:16" x14ac:dyDescent="0.25">
      <c r="A211" t="s">
        <v>266</v>
      </c>
      <c r="B211" t="s">
        <v>31</v>
      </c>
      <c r="C211" t="str">
        <f t="shared" si="3"/>
        <v>NZB47_S3</v>
      </c>
      <c r="D211" t="s">
        <v>1290</v>
      </c>
      <c r="E211">
        <v>3</v>
      </c>
      <c r="F211" t="s">
        <v>1291</v>
      </c>
      <c r="G211" t="s">
        <v>1295</v>
      </c>
      <c r="H211" t="s">
        <v>820</v>
      </c>
      <c r="I211" t="s">
        <v>36</v>
      </c>
      <c r="J211">
        <v>14</v>
      </c>
      <c r="K211">
        <v>200</v>
      </c>
      <c r="L211" t="s">
        <v>5</v>
      </c>
      <c r="M211" t="s">
        <v>131</v>
      </c>
      <c r="N211" t="s">
        <v>1296</v>
      </c>
      <c r="O211" t="s">
        <v>37</v>
      </c>
      <c r="P211" t="s">
        <v>37</v>
      </c>
    </row>
    <row r="212" spans="1:16" x14ac:dyDescent="0.25">
      <c r="A212" t="s">
        <v>266</v>
      </c>
      <c r="B212" t="s">
        <v>31</v>
      </c>
      <c r="C212" t="str">
        <f t="shared" si="3"/>
        <v>NZB47_S4</v>
      </c>
      <c r="D212" t="s">
        <v>1290</v>
      </c>
      <c r="E212">
        <v>4</v>
      </c>
      <c r="F212" t="s">
        <v>1291</v>
      </c>
      <c r="G212" t="s">
        <v>1297</v>
      </c>
      <c r="H212" t="s">
        <v>820</v>
      </c>
      <c r="I212" t="s">
        <v>36</v>
      </c>
      <c r="J212">
        <v>14</v>
      </c>
      <c r="K212">
        <v>500</v>
      </c>
      <c r="L212" t="s">
        <v>5</v>
      </c>
      <c r="M212" t="s">
        <v>131</v>
      </c>
      <c r="N212" t="s">
        <v>1298</v>
      </c>
      <c r="O212" t="s">
        <v>37</v>
      </c>
      <c r="P212" t="s">
        <v>37</v>
      </c>
    </row>
    <row r="213" spans="1:16" x14ac:dyDescent="0.25">
      <c r="A213" t="s">
        <v>266</v>
      </c>
      <c r="B213" t="s">
        <v>31</v>
      </c>
      <c r="C213" t="str">
        <f t="shared" si="3"/>
        <v>NZB47_S5</v>
      </c>
      <c r="D213" t="s">
        <v>1290</v>
      </c>
      <c r="E213">
        <v>5</v>
      </c>
      <c r="F213" t="s">
        <v>1291</v>
      </c>
      <c r="G213" t="s">
        <v>1299</v>
      </c>
      <c r="H213" t="s">
        <v>820</v>
      </c>
      <c r="I213" t="s">
        <v>36</v>
      </c>
      <c r="J213">
        <v>14</v>
      </c>
      <c r="K213">
        <v>200</v>
      </c>
      <c r="L213" t="s">
        <v>5</v>
      </c>
      <c r="M213" t="s">
        <v>131</v>
      </c>
      <c r="N213" t="s">
        <v>1300</v>
      </c>
      <c r="O213" t="s">
        <v>37</v>
      </c>
      <c r="P213" t="s">
        <v>37</v>
      </c>
    </row>
    <row r="214" spans="1:16" x14ac:dyDescent="0.25">
      <c r="A214" t="s">
        <v>266</v>
      </c>
      <c r="B214" t="s">
        <v>31</v>
      </c>
      <c r="C214" t="str">
        <f t="shared" si="3"/>
        <v>NZB47_S6</v>
      </c>
      <c r="D214" t="s">
        <v>1290</v>
      </c>
      <c r="E214">
        <v>6</v>
      </c>
      <c r="F214" t="s">
        <v>1291</v>
      </c>
      <c r="G214" t="s">
        <v>1301</v>
      </c>
      <c r="H214" t="s">
        <v>820</v>
      </c>
      <c r="I214" t="s">
        <v>36</v>
      </c>
      <c r="J214">
        <v>14</v>
      </c>
      <c r="K214">
        <v>300</v>
      </c>
      <c r="L214" t="s">
        <v>5</v>
      </c>
      <c r="M214" t="s">
        <v>131</v>
      </c>
      <c r="N214" t="s">
        <v>1302</v>
      </c>
      <c r="O214" t="s">
        <v>37</v>
      </c>
      <c r="P214" t="s">
        <v>37</v>
      </c>
    </row>
    <row r="215" spans="1:16" x14ac:dyDescent="0.25">
      <c r="A215" t="s">
        <v>266</v>
      </c>
      <c r="B215" t="s">
        <v>31</v>
      </c>
      <c r="C215" t="str">
        <f t="shared" si="3"/>
        <v>NZB47_S7a</v>
      </c>
      <c r="D215" t="s">
        <v>1290</v>
      </c>
      <c r="E215" t="s">
        <v>171</v>
      </c>
      <c r="F215" t="s">
        <v>1291</v>
      </c>
      <c r="G215" t="s">
        <v>1303</v>
      </c>
      <c r="H215" t="s">
        <v>820</v>
      </c>
      <c r="I215" t="s">
        <v>36</v>
      </c>
      <c r="J215">
        <v>14</v>
      </c>
      <c r="K215">
        <v>300</v>
      </c>
      <c r="L215" t="s">
        <v>5</v>
      </c>
      <c r="M215" t="s">
        <v>131</v>
      </c>
      <c r="N215" t="s">
        <v>1304</v>
      </c>
      <c r="O215" t="s">
        <v>37</v>
      </c>
      <c r="P215" t="s">
        <v>37</v>
      </c>
    </row>
    <row r="216" spans="1:16" x14ac:dyDescent="0.25">
      <c r="A216" t="s">
        <v>266</v>
      </c>
      <c r="B216" t="s">
        <v>31</v>
      </c>
      <c r="C216" t="str">
        <f t="shared" si="3"/>
        <v>NZB47_S7b</v>
      </c>
      <c r="D216" t="s">
        <v>1290</v>
      </c>
      <c r="E216" t="s">
        <v>174</v>
      </c>
      <c r="F216" t="s">
        <v>1291</v>
      </c>
      <c r="G216" t="s">
        <v>1305</v>
      </c>
      <c r="H216" t="s">
        <v>820</v>
      </c>
      <c r="I216" t="s">
        <v>36</v>
      </c>
      <c r="J216">
        <v>14</v>
      </c>
      <c r="K216">
        <v>0</v>
      </c>
      <c r="L216" t="s">
        <v>5</v>
      </c>
      <c r="M216" t="s">
        <v>131</v>
      </c>
      <c r="N216" t="s">
        <v>1304</v>
      </c>
      <c r="O216" t="s">
        <v>37</v>
      </c>
      <c r="P216" t="s">
        <v>37</v>
      </c>
    </row>
    <row r="217" spans="1:16" x14ac:dyDescent="0.25">
      <c r="A217" t="s">
        <v>266</v>
      </c>
      <c r="B217" t="s">
        <v>31</v>
      </c>
      <c r="C217" t="str">
        <f t="shared" si="3"/>
        <v>NZB47_S8</v>
      </c>
      <c r="D217" t="s">
        <v>1290</v>
      </c>
      <c r="E217">
        <v>8</v>
      </c>
      <c r="F217" t="s">
        <v>1291</v>
      </c>
      <c r="G217" t="s">
        <v>49</v>
      </c>
      <c r="H217" t="s">
        <v>820</v>
      </c>
      <c r="I217" t="s">
        <v>36</v>
      </c>
      <c r="J217">
        <v>14</v>
      </c>
      <c r="K217">
        <v>0</v>
      </c>
      <c r="L217" t="s">
        <v>5</v>
      </c>
      <c r="M217" t="s">
        <v>131</v>
      </c>
      <c r="N217" t="s">
        <v>1306</v>
      </c>
      <c r="O217" t="s">
        <v>37</v>
      </c>
      <c r="P217" t="s">
        <v>37</v>
      </c>
    </row>
    <row r="218" spans="1:16" x14ac:dyDescent="0.25">
      <c r="A218" t="s">
        <v>266</v>
      </c>
      <c r="B218" t="s">
        <v>31</v>
      </c>
      <c r="C218" t="str">
        <f t="shared" si="3"/>
        <v>NZB48_S1</v>
      </c>
      <c r="D218" t="s">
        <v>1307</v>
      </c>
      <c r="E218">
        <v>1</v>
      </c>
      <c r="F218" t="s">
        <v>1308</v>
      </c>
      <c r="G218" t="s">
        <v>54</v>
      </c>
      <c r="H218" t="s">
        <v>820</v>
      </c>
      <c r="I218" t="s">
        <v>36</v>
      </c>
      <c r="J218">
        <v>14</v>
      </c>
      <c r="K218">
        <v>0</v>
      </c>
      <c r="L218" t="s">
        <v>5</v>
      </c>
      <c r="M218" t="s">
        <v>37</v>
      </c>
      <c r="N218" t="s">
        <v>1309</v>
      </c>
      <c r="O218" t="s">
        <v>1310</v>
      </c>
      <c r="P218" t="s">
        <v>37</v>
      </c>
    </row>
    <row r="219" spans="1:16" x14ac:dyDescent="0.25">
      <c r="A219" t="s">
        <v>266</v>
      </c>
      <c r="B219" t="s">
        <v>31</v>
      </c>
      <c r="C219" t="str">
        <f t="shared" si="3"/>
        <v>NZB48_S2</v>
      </c>
      <c r="D219" t="s">
        <v>1307</v>
      </c>
      <c r="E219">
        <v>2</v>
      </c>
      <c r="F219" t="s">
        <v>1308</v>
      </c>
      <c r="G219" t="s">
        <v>49</v>
      </c>
      <c r="H219" t="s">
        <v>820</v>
      </c>
      <c r="I219" t="s">
        <v>36</v>
      </c>
      <c r="J219">
        <v>14</v>
      </c>
      <c r="K219">
        <v>25</v>
      </c>
      <c r="L219" t="s">
        <v>5</v>
      </c>
      <c r="M219" t="s">
        <v>37</v>
      </c>
      <c r="N219" t="s">
        <v>1311</v>
      </c>
      <c r="O219" t="s">
        <v>1310</v>
      </c>
      <c r="P219" t="s">
        <v>37</v>
      </c>
    </row>
    <row r="220" spans="1:16" x14ac:dyDescent="0.25">
      <c r="A220" t="s">
        <v>266</v>
      </c>
      <c r="B220" t="s">
        <v>31</v>
      </c>
      <c r="C220" t="str">
        <f t="shared" si="3"/>
        <v>NZB49_S1</v>
      </c>
      <c r="D220" t="s">
        <v>1312</v>
      </c>
      <c r="E220">
        <v>1</v>
      </c>
      <c r="F220" t="s">
        <v>1313</v>
      </c>
      <c r="G220" t="s">
        <v>54</v>
      </c>
      <c r="H220" t="s">
        <v>820</v>
      </c>
      <c r="I220" t="s">
        <v>36</v>
      </c>
      <c r="J220">
        <v>15</v>
      </c>
      <c r="K220">
        <v>0</v>
      </c>
      <c r="L220" t="s">
        <v>5</v>
      </c>
      <c r="M220" t="s">
        <v>37</v>
      </c>
      <c r="N220" t="s">
        <v>127</v>
      </c>
      <c r="O220" t="s">
        <v>1314</v>
      </c>
      <c r="P220" t="s">
        <v>37</v>
      </c>
    </row>
    <row r="221" spans="1:16" x14ac:dyDescent="0.25">
      <c r="A221" t="s">
        <v>266</v>
      </c>
      <c r="B221" t="s">
        <v>31</v>
      </c>
      <c r="C221" t="str">
        <f t="shared" si="3"/>
        <v>NZB49_S2a</v>
      </c>
      <c r="D221" t="s">
        <v>1312</v>
      </c>
      <c r="E221" t="s">
        <v>72</v>
      </c>
      <c r="F221" t="s">
        <v>1313</v>
      </c>
      <c r="G221" t="s">
        <v>1315</v>
      </c>
      <c r="H221" t="s">
        <v>820</v>
      </c>
      <c r="I221" t="s">
        <v>36</v>
      </c>
      <c r="J221">
        <v>15</v>
      </c>
      <c r="K221">
        <v>25</v>
      </c>
      <c r="L221" t="s">
        <v>5</v>
      </c>
      <c r="M221" t="s">
        <v>37</v>
      </c>
      <c r="N221" t="s">
        <v>1316</v>
      </c>
      <c r="O221" t="s">
        <v>1314</v>
      </c>
      <c r="P221" t="s">
        <v>1317</v>
      </c>
    </row>
    <row r="222" spans="1:16" x14ac:dyDescent="0.25">
      <c r="A222" t="s">
        <v>266</v>
      </c>
      <c r="B222" t="s">
        <v>31</v>
      </c>
      <c r="C222" t="str">
        <f t="shared" si="3"/>
        <v>NZB49_S2b</v>
      </c>
      <c r="D222" t="s">
        <v>1312</v>
      </c>
      <c r="E222" t="s">
        <v>75</v>
      </c>
      <c r="F222" t="s">
        <v>1313</v>
      </c>
      <c r="G222" t="s">
        <v>1318</v>
      </c>
      <c r="H222" t="s">
        <v>820</v>
      </c>
      <c r="I222" t="s">
        <v>36</v>
      </c>
      <c r="J222">
        <v>15</v>
      </c>
      <c r="K222">
        <v>50</v>
      </c>
      <c r="L222" t="s">
        <v>5</v>
      </c>
      <c r="M222" t="s">
        <v>37</v>
      </c>
      <c r="N222" t="s">
        <v>1316</v>
      </c>
      <c r="O222" t="s">
        <v>1314</v>
      </c>
      <c r="P222" t="s">
        <v>1319</v>
      </c>
    </row>
    <row r="223" spans="1:16" x14ac:dyDescent="0.25">
      <c r="A223" t="s">
        <v>266</v>
      </c>
      <c r="B223" t="s">
        <v>31</v>
      </c>
      <c r="C223" t="str">
        <f t="shared" si="3"/>
        <v>NZB50_S1</v>
      </c>
      <c r="D223" t="s">
        <v>1320</v>
      </c>
      <c r="E223">
        <v>1</v>
      </c>
      <c r="F223" t="s">
        <v>1321</v>
      </c>
      <c r="G223" t="s">
        <v>54</v>
      </c>
      <c r="H223" t="s">
        <v>820</v>
      </c>
      <c r="I223" t="s">
        <v>36</v>
      </c>
      <c r="J223">
        <v>16</v>
      </c>
      <c r="K223">
        <v>0</v>
      </c>
      <c r="L223" t="s">
        <v>5</v>
      </c>
      <c r="M223" t="s">
        <v>131</v>
      </c>
      <c r="N223" t="s">
        <v>1322</v>
      </c>
      <c r="O223" t="s">
        <v>1323</v>
      </c>
      <c r="P223" t="s">
        <v>37</v>
      </c>
    </row>
    <row r="224" spans="1:16" x14ac:dyDescent="0.25">
      <c r="A224" t="s">
        <v>266</v>
      </c>
      <c r="B224" t="s">
        <v>31</v>
      </c>
      <c r="C224" t="str">
        <f t="shared" si="3"/>
        <v>NZB50_S2</v>
      </c>
      <c r="D224" t="s">
        <v>1320</v>
      </c>
      <c r="E224">
        <v>2</v>
      </c>
      <c r="F224" t="s">
        <v>1321</v>
      </c>
      <c r="G224" t="s">
        <v>1324</v>
      </c>
      <c r="H224" t="s">
        <v>820</v>
      </c>
      <c r="I224" t="s">
        <v>36</v>
      </c>
      <c r="J224">
        <v>16</v>
      </c>
      <c r="K224">
        <v>100</v>
      </c>
      <c r="L224" t="s">
        <v>5</v>
      </c>
      <c r="M224" t="s">
        <v>131</v>
      </c>
      <c r="N224" t="s">
        <v>1325</v>
      </c>
      <c r="O224" t="s">
        <v>1323</v>
      </c>
      <c r="P224" t="s">
        <v>37</v>
      </c>
    </row>
    <row r="225" spans="1:16" x14ac:dyDescent="0.25">
      <c r="A225" t="s">
        <v>266</v>
      </c>
      <c r="B225" t="s">
        <v>31</v>
      </c>
      <c r="C225" t="str">
        <f t="shared" si="3"/>
        <v>NZB50_S3</v>
      </c>
      <c r="D225" t="s">
        <v>1320</v>
      </c>
      <c r="E225">
        <v>3</v>
      </c>
      <c r="F225" t="s">
        <v>1321</v>
      </c>
      <c r="G225" t="s">
        <v>1326</v>
      </c>
      <c r="H225" t="s">
        <v>820</v>
      </c>
      <c r="I225" t="s">
        <v>36</v>
      </c>
      <c r="J225">
        <v>16</v>
      </c>
      <c r="K225">
        <v>500</v>
      </c>
      <c r="L225" t="s">
        <v>5</v>
      </c>
      <c r="M225" t="s">
        <v>131</v>
      </c>
      <c r="N225" t="s">
        <v>1115</v>
      </c>
      <c r="O225" t="s">
        <v>37</v>
      </c>
      <c r="P225" t="s">
        <v>37</v>
      </c>
    </row>
    <row r="226" spans="1:16" x14ac:dyDescent="0.25">
      <c r="A226" t="s">
        <v>266</v>
      </c>
      <c r="B226" t="s">
        <v>31</v>
      </c>
      <c r="C226" t="str">
        <f t="shared" si="3"/>
        <v>NZB51_S1</v>
      </c>
      <c r="D226" t="s">
        <v>1327</v>
      </c>
      <c r="E226">
        <v>1</v>
      </c>
      <c r="F226" t="s">
        <v>1328</v>
      </c>
      <c r="G226" t="s">
        <v>54</v>
      </c>
      <c r="H226" t="s">
        <v>820</v>
      </c>
      <c r="I226" t="s">
        <v>36</v>
      </c>
      <c r="J226">
        <v>20</v>
      </c>
      <c r="K226">
        <v>0</v>
      </c>
      <c r="L226" t="s">
        <v>5</v>
      </c>
      <c r="M226" t="s">
        <v>37</v>
      </c>
      <c r="N226" t="s">
        <v>1329</v>
      </c>
      <c r="O226" t="s">
        <v>1330</v>
      </c>
      <c r="P226" t="s">
        <v>37</v>
      </c>
    </row>
    <row r="227" spans="1:16" x14ac:dyDescent="0.25">
      <c r="A227" t="s">
        <v>266</v>
      </c>
      <c r="B227" t="s">
        <v>31</v>
      </c>
      <c r="C227" t="str">
        <f t="shared" si="3"/>
        <v>NZB51_S2</v>
      </c>
      <c r="D227" t="s">
        <v>1327</v>
      </c>
      <c r="E227">
        <v>2</v>
      </c>
      <c r="F227" t="s">
        <v>1328</v>
      </c>
      <c r="G227" t="s">
        <v>49</v>
      </c>
      <c r="H227" t="s">
        <v>820</v>
      </c>
      <c r="I227" t="s">
        <v>36</v>
      </c>
      <c r="J227">
        <v>20</v>
      </c>
      <c r="K227">
        <v>0</v>
      </c>
      <c r="L227" t="s">
        <v>5</v>
      </c>
      <c r="M227" t="s">
        <v>37</v>
      </c>
      <c r="N227" t="s">
        <v>1331</v>
      </c>
      <c r="O227" t="s">
        <v>1330</v>
      </c>
      <c r="P227" t="s">
        <v>37</v>
      </c>
    </row>
    <row r="228" spans="1:16" x14ac:dyDescent="0.25">
      <c r="A228" t="s">
        <v>266</v>
      </c>
      <c r="B228" t="s">
        <v>31</v>
      </c>
      <c r="C228" t="str">
        <f t="shared" si="3"/>
        <v>NZB52_S1</v>
      </c>
      <c r="D228" t="s">
        <v>1332</v>
      </c>
      <c r="E228">
        <v>1</v>
      </c>
      <c r="F228" t="s">
        <v>1333</v>
      </c>
      <c r="G228" t="s">
        <v>54</v>
      </c>
      <c r="H228" t="s">
        <v>820</v>
      </c>
      <c r="I228" t="s">
        <v>36</v>
      </c>
      <c r="J228">
        <v>23</v>
      </c>
      <c r="K228">
        <v>0</v>
      </c>
      <c r="L228" t="s">
        <v>5</v>
      </c>
      <c r="M228" t="s">
        <v>37</v>
      </c>
      <c r="N228" t="s">
        <v>127</v>
      </c>
      <c r="O228" t="s">
        <v>1334</v>
      </c>
      <c r="P228" t="s">
        <v>37</v>
      </c>
    </row>
    <row r="229" spans="1:16" x14ac:dyDescent="0.25">
      <c r="A229" t="s">
        <v>266</v>
      </c>
      <c r="B229" t="s">
        <v>31</v>
      </c>
      <c r="C229" t="str">
        <f t="shared" si="3"/>
        <v>NZB52_S2</v>
      </c>
      <c r="D229" t="s">
        <v>1332</v>
      </c>
      <c r="E229">
        <v>2</v>
      </c>
      <c r="F229" t="s">
        <v>1333</v>
      </c>
      <c r="G229" t="s">
        <v>1335</v>
      </c>
      <c r="H229" t="s">
        <v>820</v>
      </c>
      <c r="I229" t="s">
        <v>36</v>
      </c>
      <c r="J229">
        <v>23</v>
      </c>
      <c r="K229">
        <v>25</v>
      </c>
      <c r="L229" t="s">
        <v>5</v>
      </c>
      <c r="M229" t="s">
        <v>37</v>
      </c>
      <c r="N229" t="s">
        <v>1336</v>
      </c>
      <c r="O229" t="s">
        <v>1334</v>
      </c>
      <c r="P229" t="s">
        <v>37</v>
      </c>
    </row>
    <row r="230" spans="1:16" x14ac:dyDescent="0.25">
      <c r="A230" t="s">
        <v>266</v>
      </c>
      <c r="B230" t="s">
        <v>31</v>
      </c>
      <c r="C230" t="str">
        <f t="shared" si="3"/>
        <v>NZB52_S3</v>
      </c>
      <c r="D230" t="s">
        <v>1332</v>
      </c>
      <c r="E230">
        <v>3</v>
      </c>
      <c r="F230" t="s">
        <v>1333</v>
      </c>
      <c r="G230" t="s">
        <v>1337</v>
      </c>
      <c r="H230" t="s">
        <v>820</v>
      </c>
      <c r="I230" t="s">
        <v>36</v>
      </c>
      <c r="J230">
        <v>23</v>
      </c>
      <c r="K230">
        <v>25</v>
      </c>
      <c r="L230" t="s">
        <v>5</v>
      </c>
      <c r="M230" t="s">
        <v>37</v>
      </c>
      <c r="N230" t="s">
        <v>1338</v>
      </c>
      <c r="O230" t="s">
        <v>37</v>
      </c>
      <c r="P230" t="s">
        <v>37</v>
      </c>
    </row>
    <row r="231" spans="1:16" x14ac:dyDescent="0.25">
      <c r="A231" t="s">
        <v>266</v>
      </c>
      <c r="B231" t="s">
        <v>31</v>
      </c>
      <c r="C231" t="str">
        <f t="shared" si="3"/>
        <v>NZB52_S4</v>
      </c>
      <c r="D231" t="s">
        <v>1332</v>
      </c>
      <c r="E231">
        <v>4</v>
      </c>
      <c r="F231" t="s">
        <v>1333</v>
      </c>
      <c r="G231" t="s">
        <v>1339</v>
      </c>
      <c r="H231" t="s">
        <v>820</v>
      </c>
      <c r="I231" t="s">
        <v>36</v>
      </c>
      <c r="J231">
        <v>23</v>
      </c>
      <c r="K231">
        <v>25</v>
      </c>
      <c r="L231" t="s">
        <v>5</v>
      </c>
      <c r="M231" t="s">
        <v>37</v>
      </c>
      <c r="N231" t="s">
        <v>1340</v>
      </c>
      <c r="O231" t="s">
        <v>37</v>
      </c>
      <c r="P231" t="s">
        <v>37</v>
      </c>
    </row>
    <row r="232" spans="1:16" x14ac:dyDescent="0.25">
      <c r="A232" t="s">
        <v>266</v>
      </c>
      <c r="B232" t="s">
        <v>31</v>
      </c>
      <c r="C232" t="str">
        <f t="shared" si="3"/>
        <v>NZB52_S5</v>
      </c>
      <c r="D232" t="s">
        <v>1332</v>
      </c>
      <c r="E232">
        <v>5</v>
      </c>
      <c r="F232" t="s">
        <v>1333</v>
      </c>
      <c r="G232" t="s">
        <v>1341</v>
      </c>
      <c r="H232" t="s">
        <v>820</v>
      </c>
      <c r="I232" t="s">
        <v>36</v>
      </c>
      <c r="J232">
        <v>23</v>
      </c>
      <c r="K232">
        <v>25</v>
      </c>
      <c r="L232" t="s">
        <v>5</v>
      </c>
      <c r="M232" t="s">
        <v>37</v>
      </c>
      <c r="N232" t="s">
        <v>1342</v>
      </c>
      <c r="O232" t="s">
        <v>37</v>
      </c>
      <c r="P232" t="s">
        <v>37</v>
      </c>
    </row>
    <row r="233" spans="1:16" x14ac:dyDescent="0.25">
      <c r="A233" t="s">
        <v>266</v>
      </c>
      <c r="B233" t="s">
        <v>31</v>
      </c>
      <c r="C233" t="str">
        <f t="shared" si="3"/>
        <v>NZB52_S6</v>
      </c>
      <c r="D233" t="s">
        <v>1332</v>
      </c>
      <c r="E233">
        <v>6</v>
      </c>
      <c r="F233" t="s">
        <v>1333</v>
      </c>
      <c r="G233" t="s">
        <v>1343</v>
      </c>
      <c r="H233" t="s">
        <v>820</v>
      </c>
      <c r="I233" t="s">
        <v>36</v>
      </c>
      <c r="J233">
        <v>23</v>
      </c>
      <c r="K233">
        <v>75</v>
      </c>
      <c r="L233" t="s">
        <v>5</v>
      </c>
      <c r="M233" t="s">
        <v>37</v>
      </c>
      <c r="N233" t="s">
        <v>1344</v>
      </c>
      <c r="O233" t="s">
        <v>37</v>
      </c>
      <c r="P233" t="s">
        <v>37</v>
      </c>
    </row>
    <row r="234" spans="1:16" x14ac:dyDescent="0.25">
      <c r="A234" t="s">
        <v>266</v>
      </c>
      <c r="B234" t="s">
        <v>31</v>
      </c>
      <c r="C234" t="str">
        <f t="shared" si="3"/>
        <v>NZB53_S1</v>
      </c>
      <c r="D234" t="s">
        <v>1345</v>
      </c>
      <c r="E234">
        <v>1</v>
      </c>
      <c r="F234" t="s">
        <v>1346</v>
      </c>
      <c r="G234" t="s">
        <v>54</v>
      </c>
      <c r="H234" t="s">
        <v>820</v>
      </c>
      <c r="I234" t="s">
        <v>36</v>
      </c>
      <c r="J234">
        <v>24</v>
      </c>
      <c r="K234">
        <v>0</v>
      </c>
      <c r="L234" t="s">
        <v>5</v>
      </c>
      <c r="M234" t="s">
        <v>37</v>
      </c>
      <c r="N234" t="s">
        <v>127</v>
      </c>
      <c r="O234" t="s">
        <v>1347</v>
      </c>
      <c r="P234" t="s">
        <v>37</v>
      </c>
    </row>
    <row r="235" spans="1:16" x14ac:dyDescent="0.25">
      <c r="A235" t="s">
        <v>266</v>
      </c>
      <c r="B235" t="s">
        <v>31</v>
      </c>
      <c r="C235" t="str">
        <f t="shared" si="3"/>
        <v>NZB53_S2</v>
      </c>
      <c r="D235" t="s">
        <v>1345</v>
      </c>
      <c r="E235">
        <v>2</v>
      </c>
      <c r="F235" t="s">
        <v>1346</v>
      </c>
      <c r="G235" t="s">
        <v>1348</v>
      </c>
      <c r="H235" t="s">
        <v>820</v>
      </c>
      <c r="I235" t="s">
        <v>36</v>
      </c>
      <c r="J235">
        <v>24</v>
      </c>
      <c r="K235">
        <v>25</v>
      </c>
      <c r="L235" t="s">
        <v>5</v>
      </c>
      <c r="M235" t="s">
        <v>37</v>
      </c>
      <c r="N235" t="s">
        <v>1349</v>
      </c>
      <c r="O235" t="s">
        <v>1347</v>
      </c>
      <c r="P235" t="s">
        <v>37</v>
      </c>
    </row>
    <row r="236" spans="1:16" x14ac:dyDescent="0.25">
      <c r="A236" t="s">
        <v>266</v>
      </c>
      <c r="B236" t="s">
        <v>31</v>
      </c>
      <c r="C236" t="str">
        <f t="shared" si="3"/>
        <v>NZB53_S3</v>
      </c>
      <c r="D236" t="s">
        <v>1345</v>
      </c>
      <c r="E236">
        <v>3</v>
      </c>
      <c r="F236" t="s">
        <v>1346</v>
      </c>
      <c r="G236" t="s">
        <v>1350</v>
      </c>
      <c r="H236" t="s">
        <v>820</v>
      </c>
      <c r="I236" t="s">
        <v>36</v>
      </c>
      <c r="J236">
        <v>24</v>
      </c>
      <c r="K236">
        <v>10</v>
      </c>
      <c r="L236" t="s">
        <v>5</v>
      </c>
      <c r="M236" t="s">
        <v>37</v>
      </c>
      <c r="N236" t="s">
        <v>1240</v>
      </c>
      <c r="O236" t="s">
        <v>37</v>
      </c>
      <c r="P236" t="s">
        <v>37</v>
      </c>
    </row>
    <row r="237" spans="1:16" x14ac:dyDescent="0.25">
      <c r="A237" t="s">
        <v>266</v>
      </c>
      <c r="B237" t="s">
        <v>31</v>
      </c>
      <c r="C237" t="str">
        <f t="shared" si="3"/>
        <v>NZB53_S4</v>
      </c>
      <c r="D237" t="s">
        <v>1345</v>
      </c>
      <c r="E237">
        <v>4</v>
      </c>
      <c r="F237" t="s">
        <v>1346</v>
      </c>
      <c r="G237" t="s">
        <v>1351</v>
      </c>
      <c r="H237" t="s">
        <v>820</v>
      </c>
      <c r="I237" t="s">
        <v>36</v>
      </c>
      <c r="J237">
        <v>24</v>
      </c>
      <c r="K237">
        <v>10</v>
      </c>
      <c r="L237" t="s">
        <v>5</v>
      </c>
      <c r="M237" t="s">
        <v>37</v>
      </c>
      <c r="N237" t="s">
        <v>1352</v>
      </c>
      <c r="O237" t="s">
        <v>37</v>
      </c>
      <c r="P237" t="s">
        <v>37</v>
      </c>
    </row>
    <row r="238" spans="1:16" x14ac:dyDescent="0.25">
      <c r="A238" t="s">
        <v>266</v>
      </c>
      <c r="B238" t="s">
        <v>31</v>
      </c>
      <c r="C238" t="str">
        <f t="shared" si="3"/>
        <v>NZB54_S1</v>
      </c>
      <c r="D238" t="s">
        <v>1353</v>
      </c>
      <c r="E238">
        <v>1</v>
      </c>
      <c r="F238" t="s">
        <v>1354</v>
      </c>
      <c r="G238" t="s">
        <v>54</v>
      </c>
      <c r="H238" t="s">
        <v>820</v>
      </c>
      <c r="I238" t="s">
        <v>36</v>
      </c>
      <c r="J238">
        <v>26</v>
      </c>
      <c r="K238">
        <v>0</v>
      </c>
      <c r="L238" t="s">
        <v>5</v>
      </c>
      <c r="M238" t="s">
        <v>37</v>
      </c>
      <c r="N238" t="s">
        <v>127</v>
      </c>
      <c r="O238" t="s">
        <v>1355</v>
      </c>
      <c r="P238" t="s">
        <v>37</v>
      </c>
    </row>
    <row r="239" spans="1:16" x14ac:dyDescent="0.25">
      <c r="A239" t="s">
        <v>266</v>
      </c>
      <c r="B239" t="s">
        <v>31</v>
      </c>
      <c r="C239" t="str">
        <f t="shared" si="3"/>
        <v>NZB54_S2</v>
      </c>
      <c r="D239" t="s">
        <v>1353</v>
      </c>
      <c r="E239">
        <v>2</v>
      </c>
      <c r="F239" t="s">
        <v>1354</v>
      </c>
      <c r="G239" t="s">
        <v>1356</v>
      </c>
      <c r="H239" t="s">
        <v>820</v>
      </c>
      <c r="I239" t="s">
        <v>36</v>
      </c>
      <c r="J239">
        <v>26</v>
      </c>
      <c r="K239">
        <v>100</v>
      </c>
      <c r="L239" t="s">
        <v>5</v>
      </c>
      <c r="M239" t="s">
        <v>37</v>
      </c>
      <c r="N239" t="s">
        <v>1357</v>
      </c>
      <c r="O239" t="s">
        <v>1355</v>
      </c>
      <c r="P239" t="s">
        <v>37</v>
      </c>
    </row>
    <row r="240" spans="1:16" x14ac:dyDescent="0.25">
      <c r="A240" t="s">
        <v>266</v>
      </c>
      <c r="B240" t="s">
        <v>31</v>
      </c>
      <c r="C240" t="str">
        <f t="shared" si="3"/>
        <v>NZB54_S3</v>
      </c>
      <c r="D240" t="s">
        <v>1353</v>
      </c>
      <c r="E240">
        <v>3</v>
      </c>
      <c r="F240" t="s">
        <v>1354</v>
      </c>
      <c r="G240" t="s">
        <v>1358</v>
      </c>
      <c r="H240" t="s">
        <v>820</v>
      </c>
      <c r="I240" t="s">
        <v>36</v>
      </c>
      <c r="J240">
        <v>26</v>
      </c>
      <c r="K240">
        <v>205</v>
      </c>
      <c r="L240" t="s">
        <v>5</v>
      </c>
      <c r="M240" t="s">
        <v>37</v>
      </c>
      <c r="N240" t="s">
        <v>1359</v>
      </c>
      <c r="O240" t="s">
        <v>37</v>
      </c>
      <c r="P240" t="s">
        <v>37</v>
      </c>
    </row>
    <row r="241" spans="1:16" x14ac:dyDescent="0.25">
      <c r="A241" t="s">
        <v>266</v>
      </c>
      <c r="B241" t="s">
        <v>31</v>
      </c>
      <c r="C241" t="str">
        <f t="shared" si="3"/>
        <v>NZB54_S4</v>
      </c>
      <c r="D241" t="s">
        <v>1353</v>
      </c>
      <c r="E241">
        <v>4</v>
      </c>
      <c r="F241" t="s">
        <v>1354</v>
      </c>
      <c r="G241" t="s">
        <v>1360</v>
      </c>
      <c r="H241" t="s">
        <v>820</v>
      </c>
      <c r="I241" t="s">
        <v>36</v>
      </c>
      <c r="J241">
        <v>26</v>
      </c>
      <c r="K241">
        <v>50</v>
      </c>
      <c r="L241" t="s">
        <v>5</v>
      </c>
      <c r="M241" t="s">
        <v>37</v>
      </c>
      <c r="N241" t="s">
        <v>1361</v>
      </c>
      <c r="O241" t="s">
        <v>37</v>
      </c>
      <c r="P241" t="s">
        <v>37</v>
      </c>
    </row>
    <row r="242" spans="1:16" x14ac:dyDescent="0.25">
      <c r="A242" t="s">
        <v>266</v>
      </c>
      <c r="B242" t="s">
        <v>31</v>
      </c>
      <c r="C242" t="str">
        <f t="shared" si="3"/>
        <v>NZB54_S5</v>
      </c>
      <c r="D242" t="s">
        <v>1353</v>
      </c>
      <c r="E242">
        <v>5</v>
      </c>
      <c r="F242" t="s">
        <v>1354</v>
      </c>
      <c r="G242" t="s">
        <v>49</v>
      </c>
      <c r="H242" t="s">
        <v>820</v>
      </c>
      <c r="I242" t="s">
        <v>36</v>
      </c>
      <c r="J242">
        <v>26</v>
      </c>
      <c r="K242">
        <v>50</v>
      </c>
      <c r="L242" t="s">
        <v>5</v>
      </c>
      <c r="M242" t="s">
        <v>37</v>
      </c>
      <c r="N242" t="s">
        <v>1362</v>
      </c>
      <c r="O242" t="s">
        <v>37</v>
      </c>
      <c r="P242" t="s">
        <v>37</v>
      </c>
    </row>
    <row r="243" spans="1:16" x14ac:dyDescent="0.25">
      <c r="A243" t="s">
        <v>266</v>
      </c>
      <c r="B243" t="s">
        <v>31</v>
      </c>
      <c r="C243" t="str">
        <f t="shared" si="3"/>
        <v>NZB55_S1</v>
      </c>
      <c r="D243" t="s">
        <v>1363</v>
      </c>
      <c r="E243">
        <v>1</v>
      </c>
      <c r="F243" t="s">
        <v>1364</v>
      </c>
      <c r="G243" t="s">
        <v>54</v>
      </c>
      <c r="H243" t="s">
        <v>820</v>
      </c>
      <c r="I243" t="s">
        <v>36</v>
      </c>
      <c r="J243">
        <v>30</v>
      </c>
      <c r="K243">
        <v>0</v>
      </c>
      <c r="L243" t="s">
        <v>5</v>
      </c>
      <c r="M243" t="s">
        <v>37</v>
      </c>
      <c r="N243" t="s">
        <v>991</v>
      </c>
      <c r="O243" t="s">
        <v>1365</v>
      </c>
      <c r="P243" t="s">
        <v>37</v>
      </c>
    </row>
    <row r="244" spans="1:16" x14ac:dyDescent="0.25">
      <c r="A244" t="s">
        <v>266</v>
      </c>
      <c r="B244" t="s">
        <v>31</v>
      </c>
      <c r="C244" t="str">
        <f t="shared" si="3"/>
        <v>NZB55_S2</v>
      </c>
      <c r="D244" t="s">
        <v>1363</v>
      </c>
      <c r="E244">
        <v>2</v>
      </c>
      <c r="F244" t="s">
        <v>1364</v>
      </c>
      <c r="G244" t="s">
        <v>49</v>
      </c>
      <c r="H244" t="s">
        <v>820</v>
      </c>
      <c r="I244" t="s">
        <v>36</v>
      </c>
      <c r="J244">
        <v>30</v>
      </c>
      <c r="K244">
        <v>25</v>
      </c>
      <c r="L244" t="s">
        <v>5</v>
      </c>
      <c r="M244" t="s">
        <v>37</v>
      </c>
      <c r="N244" t="s">
        <v>1366</v>
      </c>
      <c r="O244" t="s">
        <v>1365</v>
      </c>
      <c r="P244" t="s">
        <v>37</v>
      </c>
    </row>
    <row r="245" spans="1:16" x14ac:dyDescent="0.25">
      <c r="A245" s="1" t="s">
        <v>111</v>
      </c>
      <c r="B245" t="s">
        <v>31</v>
      </c>
      <c r="C245" t="str">
        <f t="shared" si="3"/>
        <v>NZW1_S1</v>
      </c>
      <c r="D245" t="s">
        <v>1367</v>
      </c>
      <c r="E245">
        <v>1</v>
      </c>
      <c r="F245" t="s">
        <v>1368</v>
      </c>
      <c r="G245" t="s">
        <v>54</v>
      </c>
      <c r="H245" t="s">
        <v>820</v>
      </c>
      <c r="I245" t="s">
        <v>36</v>
      </c>
      <c r="J245">
        <v>13</v>
      </c>
      <c r="K245">
        <v>0</v>
      </c>
      <c r="L245" t="s">
        <v>5</v>
      </c>
      <c r="M245" t="s">
        <v>37</v>
      </c>
      <c r="N245" t="s">
        <v>127</v>
      </c>
      <c r="O245" t="s">
        <v>1369</v>
      </c>
      <c r="P245" t="s">
        <v>37</v>
      </c>
    </row>
    <row r="246" spans="1:16" x14ac:dyDescent="0.25">
      <c r="A246" s="1" t="s">
        <v>111</v>
      </c>
      <c r="B246" t="s">
        <v>31</v>
      </c>
      <c r="C246" t="str">
        <f t="shared" si="3"/>
        <v>NZW1_S2</v>
      </c>
      <c r="D246" t="s">
        <v>1367</v>
      </c>
      <c r="E246">
        <v>2</v>
      </c>
      <c r="F246" t="s">
        <v>1368</v>
      </c>
      <c r="G246" t="s">
        <v>49</v>
      </c>
      <c r="H246" t="s">
        <v>820</v>
      </c>
      <c r="I246" t="s">
        <v>36</v>
      </c>
      <c r="J246">
        <v>13</v>
      </c>
      <c r="K246">
        <v>270</v>
      </c>
      <c r="L246" t="s">
        <v>5</v>
      </c>
      <c r="M246" t="s">
        <v>37</v>
      </c>
      <c r="N246" t="s">
        <v>1370</v>
      </c>
      <c r="O246" t="s">
        <v>1369</v>
      </c>
      <c r="P246" t="s">
        <v>37</v>
      </c>
    </row>
    <row r="247" spans="1:16" x14ac:dyDescent="0.25">
      <c r="A247" s="1" t="s">
        <v>111</v>
      </c>
      <c r="B247" t="s">
        <v>31</v>
      </c>
      <c r="C247" t="str">
        <f t="shared" si="3"/>
        <v>NZW2_S1</v>
      </c>
      <c r="D247" t="s">
        <v>1371</v>
      </c>
      <c r="E247">
        <v>1</v>
      </c>
      <c r="F247" t="s">
        <v>1372</v>
      </c>
      <c r="G247" t="s">
        <v>54</v>
      </c>
      <c r="H247" t="s">
        <v>820</v>
      </c>
      <c r="I247" t="s">
        <v>36</v>
      </c>
      <c r="J247">
        <v>14</v>
      </c>
      <c r="K247">
        <v>0</v>
      </c>
      <c r="L247" t="s">
        <v>5</v>
      </c>
      <c r="M247" t="s">
        <v>37</v>
      </c>
      <c r="N247" t="s">
        <v>127</v>
      </c>
      <c r="O247" t="s">
        <v>1373</v>
      </c>
      <c r="P247" t="s">
        <v>37</v>
      </c>
    </row>
    <row r="248" spans="1:16" x14ac:dyDescent="0.25">
      <c r="A248" s="1" t="s">
        <v>111</v>
      </c>
      <c r="B248" t="s">
        <v>31</v>
      </c>
      <c r="C248" t="str">
        <f t="shared" si="3"/>
        <v>NZW2_S2</v>
      </c>
      <c r="D248" t="s">
        <v>1371</v>
      </c>
      <c r="E248">
        <v>2</v>
      </c>
      <c r="F248" t="s">
        <v>1372</v>
      </c>
      <c r="G248" t="s">
        <v>49</v>
      </c>
      <c r="H248" t="s">
        <v>820</v>
      </c>
      <c r="I248" t="s">
        <v>36</v>
      </c>
      <c r="J248">
        <v>14</v>
      </c>
      <c r="K248">
        <v>275</v>
      </c>
      <c r="L248" t="s">
        <v>5</v>
      </c>
      <c r="M248" t="s">
        <v>37</v>
      </c>
      <c r="N248" t="s">
        <v>1374</v>
      </c>
      <c r="O248" t="s">
        <v>1373</v>
      </c>
      <c r="P248" t="s">
        <v>37</v>
      </c>
    </row>
    <row r="249" spans="1:16" x14ac:dyDescent="0.25">
      <c r="A249" s="1" t="s">
        <v>111</v>
      </c>
      <c r="B249" t="s">
        <v>31</v>
      </c>
      <c r="C249" t="str">
        <f t="shared" si="3"/>
        <v>NZW3_S1</v>
      </c>
      <c r="D249" t="s">
        <v>1375</v>
      </c>
      <c r="E249">
        <v>1</v>
      </c>
      <c r="F249" t="s">
        <v>1376</v>
      </c>
      <c r="G249" t="s">
        <v>54</v>
      </c>
      <c r="H249" t="s">
        <v>820</v>
      </c>
      <c r="I249" t="s">
        <v>36</v>
      </c>
      <c r="J249">
        <v>15</v>
      </c>
      <c r="K249">
        <v>0</v>
      </c>
      <c r="L249" t="s">
        <v>5</v>
      </c>
      <c r="M249" t="s">
        <v>37</v>
      </c>
      <c r="N249" t="s">
        <v>127</v>
      </c>
      <c r="O249" t="s">
        <v>1377</v>
      </c>
      <c r="P249" t="s">
        <v>37</v>
      </c>
    </row>
    <row r="250" spans="1:16" x14ac:dyDescent="0.25">
      <c r="A250" s="1" t="s">
        <v>111</v>
      </c>
      <c r="B250" t="s">
        <v>31</v>
      </c>
      <c r="C250" t="str">
        <f t="shared" si="3"/>
        <v>NZW3_S2a</v>
      </c>
      <c r="D250" t="s">
        <v>1375</v>
      </c>
      <c r="E250" t="s">
        <v>72</v>
      </c>
      <c r="F250" t="s">
        <v>1376</v>
      </c>
      <c r="G250" t="s">
        <v>1378</v>
      </c>
      <c r="H250" t="s">
        <v>820</v>
      </c>
      <c r="I250" t="s">
        <v>36</v>
      </c>
      <c r="J250">
        <v>15</v>
      </c>
      <c r="K250">
        <v>40</v>
      </c>
      <c r="L250" t="s">
        <v>5</v>
      </c>
      <c r="M250" t="s">
        <v>37</v>
      </c>
      <c r="N250" t="s">
        <v>1379</v>
      </c>
      <c r="O250" t="s">
        <v>1377</v>
      </c>
      <c r="P250" t="s">
        <v>37</v>
      </c>
    </row>
    <row r="251" spans="1:16" x14ac:dyDescent="0.25">
      <c r="A251" s="1" t="s">
        <v>111</v>
      </c>
      <c r="B251" t="s">
        <v>31</v>
      </c>
      <c r="C251" t="str">
        <f t="shared" si="3"/>
        <v>NZW3_S2b</v>
      </c>
      <c r="D251" t="s">
        <v>1375</v>
      </c>
      <c r="E251" t="s">
        <v>75</v>
      </c>
      <c r="F251" t="s">
        <v>1376</v>
      </c>
      <c r="G251" t="s">
        <v>1091</v>
      </c>
      <c r="H251" t="s">
        <v>820</v>
      </c>
      <c r="I251" t="s">
        <v>36</v>
      </c>
      <c r="J251">
        <v>15</v>
      </c>
      <c r="K251">
        <v>0</v>
      </c>
      <c r="L251" t="s">
        <v>5</v>
      </c>
      <c r="M251" t="s">
        <v>37</v>
      </c>
      <c r="N251" t="s">
        <v>1379</v>
      </c>
      <c r="O251" t="s">
        <v>1377</v>
      </c>
      <c r="P251" t="s">
        <v>37</v>
      </c>
    </row>
    <row r="252" spans="1:16" x14ac:dyDescent="0.25">
      <c r="A252" s="1" t="s">
        <v>111</v>
      </c>
      <c r="B252" t="s">
        <v>31</v>
      </c>
      <c r="C252" t="str">
        <f t="shared" si="3"/>
        <v>NZW3_S3</v>
      </c>
      <c r="D252" t="s">
        <v>1375</v>
      </c>
      <c r="E252">
        <v>3</v>
      </c>
      <c r="F252" t="s">
        <v>1376</v>
      </c>
      <c r="G252" t="s">
        <v>49</v>
      </c>
      <c r="H252" t="s">
        <v>820</v>
      </c>
      <c r="I252" t="s">
        <v>36</v>
      </c>
      <c r="J252">
        <v>15</v>
      </c>
      <c r="K252">
        <v>270</v>
      </c>
      <c r="L252" t="s">
        <v>5</v>
      </c>
      <c r="M252" t="s">
        <v>37</v>
      </c>
      <c r="N252" t="s">
        <v>1380</v>
      </c>
      <c r="O252" t="s">
        <v>37</v>
      </c>
      <c r="P252" t="s">
        <v>37</v>
      </c>
    </row>
    <row r="253" spans="1:16" x14ac:dyDescent="0.25">
      <c r="A253" s="1" t="s">
        <v>111</v>
      </c>
      <c r="B253" t="s">
        <v>31</v>
      </c>
      <c r="C253" t="str">
        <f t="shared" si="3"/>
        <v>NZW4_S1</v>
      </c>
      <c r="D253" t="s">
        <v>1381</v>
      </c>
      <c r="E253">
        <v>1</v>
      </c>
      <c r="F253" t="s">
        <v>1382</v>
      </c>
      <c r="G253" t="s">
        <v>54</v>
      </c>
      <c r="H253" t="s">
        <v>820</v>
      </c>
      <c r="I253" t="s">
        <v>36</v>
      </c>
      <c r="J253">
        <v>16</v>
      </c>
      <c r="K253">
        <v>0</v>
      </c>
      <c r="L253" t="s">
        <v>5</v>
      </c>
      <c r="M253" t="s">
        <v>37</v>
      </c>
      <c r="N253" t="s">
        <v>127</v>
      </c>
      <c r="O253" t="s">
        <v>1383</v>
      </c>
      <c r="P253" t="s">
        <v>37</v>
      </c>
    </row>
    <row r="254" spans="1:16" x14ac:dyDescent="0.25">
      <c r="A254" s="1" t="s">
        <v>111</v>
      </c>
      <c r="B254" t="s">
        <v>31</v>
      </c>
      <c r="C254" t="str">
        <f t="shared" si="3"/>
        <v>NZW4_S2</v>
      </c>
      <c r="D254" t="s">
        <v>1381</v>
      </c>
      <c r="E254">
        <v>2</v>
      </c>
      <c r="F254" t="s">
        <v>1382</v>
      </c>
      <c r="G254" t="s">
        <v>49</v>
      </c>
      <c r="H254" t="s">
        <v>820</v>
      </c>
      <c r="I254" t="s">
        <v>36</v>
      </c>
      <c r="J254">
        <v>16</v>
      </c>
      <c r="K254">
        <v>260</v>
      </c>
      <c r="L254" t="s">
        <v>5</v>
      </c>
      <c r="M254" t="s">
        <v>37</v>
      </c>
      <c r="N254" t="s">
        <v>1384</v>
      </c>
      <c r="O254" t="s">
        <v>1383</v>
      </c>
      <c r="P254" t="s">
        <v>37</v>
      </c>
    </row>
    <row r="255" spans="1:16" x14ac:dyDescent="0.25">
      <c r="A255" s="1" t="s">
        <v>111</v>
      </c>
      <c r="B255" t="s">
        <v>31</v>
      </c>
      <c r="C255" t="str">
        <f t="shared" si="3"/>
        <v>NZW5_S1</v>
      </c>
      <c r="D255" t="s">
        <v>1385</v>
      </c>
      <c r="E255">
        <v>1</v>
      </c>
      <c r="F255" t="s">
        <v>1386</v>
      </c>
      <c r="G255" t="s">
        <v>54</v>
      </c>
      <c r="H255" t="s">
        <v>820</v>
      </c>
      <c r="I255" t="s">
        <v>36</v>
      </c>
      <c r="J255">
        <v>24</v>
      </c>
      <c r="K255">
        <v>0</v>
      </c>
      <c r="L255" t="s">
        <v>5</v>
      </c>
      <c r="M255" t="s">
        <v>37</v>
      </c>
      <c r="N255" t="s">
        <v>127</v>
      </c>
      <c r="O255" t="s">
        <v>1387</v>
      </c>
      <c r="P255" t="s">
        <v>37</v>
      </c>
    </row>
    <row r="256" spans="1:16" x14ac:dyDescent="0.25">
      <c r="A256" s="1" t="s">
        <v>111</v>
      </c>
      <c r="B256" t="s">
        <v>31</v>
      </c>
      <c r="C256" t="str">
        <f t="shared" si="3"/>
        <v>NZW5_S2</v>
      </c>
      <c r="D256" t="s">
        <v>1385</v>
      </c>
      <c r="E256">
        <v>2</v>
      </c>
      <c r="F256" t="s">
        <v>1386</v>
      </c>
      <c r="G256" t="s">
        <v>49</v>
      </c>
      <c r="H256" t="s">
        <v>820</v>
      </c>
      <c r="I256" t="s">
        <v>36</v>
      </c>
      <c r="J256">
        <v>24</v>
      </c>
      <c r="K256">
        <v>300</v>
      </c>
      <c r="L256" t="s">
        <v>5</v>
      </c>
      <c r="M256" t="s">
        <v>37</v>
      </c>
      <c r="N256" t="s">
        <v>1388</v>
      </c>
      <c r="O256" t="s">
        <v>1387</v>
      </c>
      <c r="P256" t="s">
        <v>37</v>
      </c>
    </row>
    <row r="257" spans="1:16" x14ac:dyDescent="0.25">
      <c r="A257" s="1" t="s">
        <v>111</v>
      </c>
      <c r="B257" t="s">
        <v>31</v>
      </c>
      <c r="C257" t="str">
        <f t="shared" si="3"/>
        <v>NZW6_S1</v>
      </c>
      <c r="D257" t="s">
        <v>1389</v>
      </c>
      <c r="E257">
        <v>1</v>
      </c>
      <c r="F257" t="s">
        <v>1390</v>
      </c>
      <c r="G257" t="s">
        <v>54</v>
      </c>
      <c r="H257" t="s">
        <v>820</v>
      </c>
      <c r="I257" t="s">
        <v>36</v>
      </c>
      <c r="J257">
        <v>25</v>
      </c>
      <c r="K257">
        <v>0</v>
      </c>
      <c r="L257" t="s">
        <v>5</v>
      </c>
      <c r="M257" t="s">
        <v>37</v>
      </c>
      <c r="N257" t="s">
        <v>127</v>
      </c>
      <c r="O257" t="s">
        <v>1391</v>
      </c>
      <c r="P257" t="s">
        <v>37</v>
      </c>
    </row>
    <row r="258" spans="1:16" x14ac:dyDescent="0.25">
      <c r="A258" s="1" t="s">
        <v>111</v>
      </c>
      <c r="B258" t="s">
        <v>31</v>
      </c>
      <c r="C258" t="str">
        <f t="shared" ref="C258:C321" si="4">_xlfn.CONCAT(D258,"_S",E258)</f>
        <v>NZW6_S2</v>
      </c>
      <c r="D258" t="s">
        <v>1389</v>
      </c>
      <c r="E258">
        <v>2</v>
      </c>
      <c r="F258" t="s">
        <v>1390</v>
      </c>
      <c r="G258" t="s">
        <v>49</v>
      </c>
      <c r="H258" t="s">
        <v>820</v>
      </c>
      <c r="I258" t="s">
        <v>36</v>
      </c>
      <c r="J258">
        <v>25</v>
      </c>
      <c r="K258">
        <v>250</v>
      </c>
      <c r="L258" t="s">
        <v>5</v>
      </c>
      <c r="M258" t="s">
        <v>37</v>
      </c>
      <c r="N258" t="s">
        <v>1392</v>
      </c>
      <c r="O258" t="s">
        <v>1391</v>
      </c>
      <c r="P258" t="s">
        <v>37</v>
      </c>
    </row>
    <row r="259" spans="1:16" x14ac:dyDescent="0.25">
      <c r="A259" s="1" t="s">
        <v>111</v>
      </c>
      <c r="B259" t="s">
        <v>31</v>
      </c>
      <c r="C259" t="str">
        <f t="shared" si="4"/>
        <v>NZW7_S1</v>
      </c>
      <c r="D259" t="s">
        <v>1393</v>
      </c>
      <c r="E259">
        <v>1</v>
      </c>
      <c r="F259" t="s">
        <v>1394</v>
      </c>
      <c r="G259" t="s">
        <v>54</v>
      </c>
      <c r="H259" t="s">
        <v>820</v>
      </c>
      <c r="I259" t="s">
        <v>36</v>
      </c>
      <c r="J259">
        <v>26</v>
      </c>
      <c r="K259">
        <v>0</v>
      </c>
      <c r="L259" t="s">
        <v>5</v>
      </c>
      <c r="M259" t="s">
        <v>37</v>
      </c>
      <c r="N259" t="s">
        <v>127</v>
      </c>
      <c r="O259" t="s">
        <v>1395</v>
      </c>
      <c r="P259" t="s">
        <v>37</v>
      </c>
    </row>
    <row r="260" spans="1:16" x14ac:dyDescent="0.25">
      <c r="A260" s="1" t="s">
        <v>111</v>
      </c>
      <c r="B260" t="s">
        <v>31</v>
      </c>
      <c r="C260" t="str">
        <f t="shared" si="4"/>
        <v>NZW7_S2</v>
      </c>
      <c r="D260" t="s">
        <v>1393</v>
      </c>
      <c r="E260">
        <v>2</v>
      </c>
      <c r="F260" t="s">
        <v>1394</v>
      </c>
      <c r="G260" t="s">
        <v>49</v>
      </c>
      <c r="H260" t="s">
        <v>820</v>
      </c>
      <c r="I260" t="s">
        <v>36</v>
      </c>
      <c r="J260">
        <v>26</v>
      </c>
      <c r="K260">
        <v>300</v>
      </c>
      <c r="L260" t="s">
        <v>5</v>
      </c>
      <c r="M260" t="s">
        <v>37</v>
      </c>
      <c r="N260" t="s">
        <v>1396</v>
      </c>
      <c r="O260" t="s">
        <v>1395</v>
      </c>
      <c r="P260" t="s">
        <v>37</v>
      </c>
    </row>
    <row r="261" spans="1:16" x14ac:dyDescent="0.25">
      <c r="A261" s="1" t="s">
        <v>111</v>
      </c>
      <c r="B261" t="s">
        <v>31</v>
      </c>
      <c r="C261" t="str">
        <f t="shared" si="4"/>
        <v>NZW8_S1</v>
      </c>
      <c r="D261" t="s">
        <v>1397</v>
      </c>
      <c r="E261">
        <v>1</v>
      </c>
      <c r="F261" t="s">
        <v>1398</v>
      </c>
      <c r="G261" t="s">
        <v>54</v>
      </c>
      <c r="H261" t="s">
        <v>820</v>
      </c>
      <c r="I261" t="s">
        <v>36</v>
      </c>
      <c r="J261">
        <v>35</v>
      </c>
      <c r="K261">
        <v>0</v>
      </c>
      <c r="L261" t="s">
        <v>5</v>
      </c>
      <c r="M261" t="s">
        <v>37</v>
      </c>
      <c r="N261" t="s">
        <v>127</v>
      </c>
      <c r="O261" t="s">
        <v>1399</v>
      </c>
      <c r="P261" t="s">
        <v>37</v>
      </c>
    </row>
    <row r="262" spans="1:16" x14ac:dyDescent="0.25">
      <c r="A262" s="1" t="s">
        <v>111</v>
      </c>
      <c r="B262" t="s">
        <v>31</v>
      </c>
      <c r="C262" t="str">
        <f t="shared" si="4"/>
        <v>NZW8_S2</v>
      </c>
      <c r="D262" t="s">
        <v>1397</v>
      </c>
      <c r="E262">
        <v>2</v>
      </c>
      <c r="F262" t="s">
        <v>1398</v>
      </c>
      <c r="G262" t="s">
        <v>49</v>
      </c>
      <c r="H262" t="s">
        <v>820</v>
      </c>
      <c r="I262" t="s">
        <v>36</v>
      </c>
      <c r="J262">
        <v>35</v>
      </c>
      <c r="K262">
        <v>300</v>
      </c>
      <c r="L262" t="s">
        <v>5</v>
      </c>
      <c r="M262" t="s">
        <v>37</v>
      </c>
      <c r="N262" t="s">
        <v>1400</v>
      </c>
      <c r="O262" t="s">
        <v>1399</v>
      </c>
      <c r="P262" t="s">
        <v>37</v>
      </c>
    </row>
  </sheetData>
  <conditionalFormatting sqref="C1:C1048576">
    <cfRule type="duplicateValues" dxfId="4" priority="2"/>
  </conditionalFormatting>
  <conditionalFormatting sqref="S163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6"/>
  <sheetViews>
    <sheetView topLeftCell="A94" zoomScaleNormal="100" workbookViewId="0">
      <selection activeCell="O116" sqref="A116:O118"/>
    </sheetView>
  </sheetViews>
  <sheetFormatPr defaultRowHeight="15" x14ac:dyDescent="0.25"/>
  <cols>
    <col min="1" max="1" width="21.7109375" bestFit="1" customWidth="1"/>
    <col min="2" max="2" width="9.5703125" bestFit="1" customWidth="1"/>
    <col min="3" max="5" width="9.5703125" customWidth="1"/>
    <col min="6" max="6" width="40.28515625" bestFit="1" customWidth="1"/>
    <col min="7" max="7" width="40.28515625" customWidth="1"/>
    <col min="9" max="9" width="26.42578125" bestFit="1" customWidth="1"/>
    <col min="13" max="13" width="9.140625" customWidth="1"/>
    <col min="14" max="14" width="20.5703125" bestFit="1" customWidth="1"/>
    <col min="15" max="16" width="18" customWidth="1"/>
  </cols>
  <sheetData>
    <row r="1" spans="1:1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0</v>
      </c>
      <c r="M1" t="s">
        <v>26</v>
      </c>
      <c r="N1" t="s">
        <v>27</v>
      </c>
      <c r="O1" t="s">
        <v>28</v>
      </c>
      <c r="P1" t="s">
        <v>29</v>
      </c>
    </row>
    <row r="2" spans="1:18" x14ac:dyDescent="0.25">
      <c r="A2" t="s">
        <v>30</v>
      </c>
      <c r="B2" t="s">
        <v>31</v>
      </c>
      <c r="C2" t="str">
        <f t="shared" ref="C2:C33" si="0">_xlfn.CONCAT(D2,"_S",E2)</f>
        <v>SF1_S1</v>
      </c>
      <c r="D2" t="s">
        <v>1401</v>
      </c>
      <c r="E2">
        <v>1</v>
      </c>
      <c r="F2" t="s">
        <v>1402</v>
      </c>
      <c r="G2" t="s">
        <v>54</v>
      </c>
      <c r="H2" t="s">
        <v>820</v>
      </c>
      <c r="I2" t="s">
        <v>36</v>
      </c>
      <c r="J2">
        <v>16</v>
      </c>
      <c r="K2">
        <v>0</v>
      </c>
      <c r="L2" t="s">
        <v>5</v>
      </c>
      <c r="M2" t="s">
        <v>37</v>
      </c>
      <c r="N2" t="s">
        <v>127</v>
      </c>
      <c r="O2" t="s">
        <v>1403</v>
      </c>
      <c r="P2" t="s">
        <v>37</v>
      </c>
    </row>
    <row r="3" spans="1:18" x14ac:dyDescent="0.25">
      <c r="A3" t="s">
        <v>30</v>
      </c>
      <c r="B3" t="s">
        <v>31</v>
      </c>
      <c r="C3" t="str">
        <f t="shared" si="0"/>
        <v>SF1_S2</v>
      </c>
      <c r="D3" t="s">
        <v>1401</v>
      </c>
      <c r="E3">
        <v>2</v>
      </c>
      <c r="F3" t="s">
        <v>1402</v>
      </c>
      <c r="G3" t="s">
        <v>1404</v>
      </c>
      <c r="H3" t="s">
        <v>820</v>
      </c>
      <c r="I3" t="s">
        <v>36</v>
      </c>
      <c r="J3">
        <v>16</v>
      </c>
      <c r="K3">
        <v>100</v>
      </c>
      <c r="L3" t="s">
        <v>5</v>
      </c>
      <c r="M3" t="s">
        <v>37</v>
      </c>
      <c r="N3" t="s">
        <v>1405</v>
      </c>
      <c r="O3" t="s">
        <v>1403</v>
      </c>
      <c r="P3" t="s">
        <v>37</v>
      </c>
    </row>
    <row r="4" spans="1:18" x14ac:dyDescent="0.25">
      <c r="A4" t="s">
        <v>30</v>
      </c>
      <c r="B4" t="s">
        <v>31</v>
      </c>
      <c r="C4" t="str">
        <f t="shared" si="0"/>
        <v>SF1_S3</v>
      </c>
      <c r="D4" t="s">
        <v>1401</v>
      </c>
      <c r="E4">
        <v>3</v>
      </c>
      <c r="F4" t="s">
        <v>1402</v>
      </c>
      <c r="G4" t="s">
        <v>1406</v>
      </c>
      <c r="H4" t="s">
        <v>1407</v>
      </c>
      <c r="I4" t="s">
        <v>36</v>
      </c>
      <c r="J4">
        <v>16</v>
      </c>
      <c r="K4">
        <v>500</v>
      </c>
      <c r="L4" t="s">
        <v>5</v>
      </c>
      <c r="M4" t="s">
        <v>37</v>
      </c>
      <c r="N4" t="s">
        <v>1408</v>
      </c>
      <c r="O4" t="s">
        <v>37</v>
      </c>
      <c r="P4" t="s">
        <v>37</v>
      </c>
    </row>
    <row r="5" spans="1:18" x14ac:dyDescent="0.25">
      <c r="A5" t="s">
        <v>30</v>
      </c>
      <c r="B5" t="s">
        <v>31</v>
      </c>
      <c r="C5" t="str">
        <f t="shared" si="0"/>
        <v>SF1_S4</v>
      </c>
      <c r="D5" t="s">
        <v>1401</v>
      </c>
      <c r="E5">
        <v>4</v>
      </c>
      <c r="F5" t="s">
        <v>1402</v>
      </c>
      <c r="G5" t="s">
        <v>233</v>
      </c>
      <c r="H5" t="s">
        <v>1407</v>
      </c>
      <c r="I5" t="s">
        <v>36</v>
      </c>
      <c r="J5">
        <v>16</v>
      </c>
      <c r="K5">
        <v>250</v>
      </c>
      <c r="L5" t="s">
        <v>5</v>
      </c>
      <c r="M5" t="s">
        <v>37</v>
      </c>
      <c r="N5" t="s">
        <v>1409</v>
      </c>
      <c r="O5" t="s">
        <v>37</v>
      </c>
      <c r="P5" t="s">
        <v>37</v>
      </c>
    </row>
    <row r="6" spans="1:18" x14ac:dyDescent="0.25">
      <c r="A6" t="s">
        <v>30</v>
      </c>
      <c r="B6" t="s">
        <v>31</v>
      </c>
      <c r="C6" t="str">
        <f t="shared" si="0"/>
        <v>SF2_S1</v>
      </c>
      <c r="D6" t="s">
        <v>1410</v>
      </c>
      <c r="E6">
        <v>1</v>
      </c>
      <c r="F6" t="s">
        <v>1411</v>
      </c>
      <c r="G6" t="s">
        <v>54</v>
      </c>
      <c r="H6" t="s">
        <v>1407</v>
      </c>
      <c r="I6" t="s">
        <v>36</v>
      </c>
      <c r="J6">
        <v>17</v>
      </c>
      <c r="K6">
        <v>0</v>
      </c>
      <c r="L6" t="s">
        <v>5</v>
      </c>
      <c r="M6" t="s">
        <v>37</v>
      </c>
      <c r="N6" t="s">
        <v>1412</v>
      </c>
      <c r="O6" t="s">
        <v>1413</v>
      </c>
      <c r="P6" t="s">
        <v>37</v>
      </c>
    </row>
    <row r="7" spans="1:18" x14ac:dyDescent="0.25">
      <c r="A7" t="s">
        <v>30</v>
      </c>
      <c r="B7" t="s">
        <v>31</v>
      </c>
      <c r="C7" t="str">
        <f t="shared" si="0"/>
        <v>SF2_S2</v>
      </c>
      <c r="D7" t="s">
        <v>1410</v>
      </c>
      <c r="E7">
        <v>2</v>
      </c>
      <c r="F7" t="s">
        <v>1411</v>
      </c>
      <c r="G7" t="s">
        <v>1414</v>
      </c>
      <c r="H7" t="s">
        <v>1407</v>
      </c>
      <c r="I7" t="s">
        <v>36</v>
      </c>
      <c r="J7">
        <v>17</v>
      </c>
      <c r="K7">
        <v>150</v>
      </c>
      <c r="L7" t="s">
        <v>5</v>
      </c>
      <c r="M7" t="s">
        <v>37</v>
      </c>
      <c r="N7" t="s">
        <v>1415</v>
      </c>
      <c r="O7" t="s">
        <v>1413</v>
      </c>
      <c r="P7" t="s">
        <v>37</v>
      </c>
    </row>
    <row r="8" spans="1:18" x14ac:dyDescent="0.25">
      <c r="A8" t="s">
        <v>30</v>
      </c>
      <c r="B8" t="s">
        <v>31</v>
      </c>
      <c r="C8" t="str">
        <f t="shared" si="0"/>
        <v>SF2_S3</v>
      </c>
      <c r="D8" t="s">
        <v>1410</v>
      </c>
      <c r="E8">
        <v>3</v>
      </c>
      <c r="F8" t="s">
        <v>1411</v>
      </c>
      <c r="G8" t="s">
        <v>1416</v>
      </c>
      <c r="H8" t="s">
        <v>1407</v>
      </c>
      <c r="I8" t="s">
        <v>36</v>
      </c>
      <c r="J8">
        <v>17</v>
      </c>
      <c r="K8">
        <v>150</v>
      </c>
      <c r="L8" t="s">
        <v>5</v>
      </c>
      <c r="M8" t="s">
        <v>37</v>
      </c>
      <c r="N8" t="s">
        <v>1417</v>
      </c>
      <c r="O8" t="s">
        <v>37</v>
      </c>
      <c r="P8" t="s">
        <v>37</v>
      </c>
    </row>
    <row r="9" spans="1:18" x14ac:dyDescent="0.25">
      <c r="A9" t="s">
        <v>30</v>
      </c>
      <c r="B9" t="s">
        <v>31</v>
      </c>
      <c r="C9" t="str">
        <f t="shared" si="0"/>
        <v>SF2_S4</v>
      </c>
      <c r="D9" t="s">
        <v>1410</v>
      </c>
      <c r="E9">
        <v>4</v>
      </c>
      <c r="F9" t="s">
        <v>1411</v>
      </c>
      <c r="G9" t="s">
        <v>1418</v>
      </c>
      <c r="H9" t="s">
        <v>1407</v>
      </c>
      <c r="I9" t="s">
        <v>36</v>
      </c>
      <c r="J9">
        <v>17</v>
      </c>
      <c r="K9">
        <v>150</v>
      </c>
      <c r="L9" t="s">
        <v>5</v>
      </c>
      <c r="M9" t="s">
        <v>37</v>
      </c>
      <c r="N9" t="s">
        <v>1419</v>
      </c>
      <c r="O9" t="s">
        <v>37</v>
      </c>
      <c r="P9" t="s">
        <v>37</v>
      </c>
    </row>
    <row r="10" spans="1:18" x14ac:dyDescent="0.25">
      <c r="A10" t="s">
        <v>30</v>
      </c>
      <c r="B10" t="s">
        <v>31</v>
      </c>
      <c r="C10" t="str">
        <f t="shared" si="0"/>
        <v>SF2_S5</v>
      </c>
      <c r="D10" t="s">
        <v>1410</v>
      </c>
      <c r="E10">
        <v>5</v>
      </c>
      <c r="F10" t="s">
        <v>1411</v>
      </c>
      <c r="G10" t="s">
        <v>233</v>
      </c>
      <c r="H10" t="s">
        <v>1407</v>
      </c>
      <c r="I10" t="s">
        <v>36</v>
      </c>
      <c r="J10">
        <v>17</v>
      </c>
      <c r="K10">
        <v>600</v>
      </c>
      <c r="L10" t="s">
        <v>5</v>
      </c>
      <c r="M10" t="s">
        <v>37</v>
      </c>
      <c r="N10" t="s">
        <v>1420</v>
      </c>
      <c r="O10" t="s">
        <v>37</v>
      </c>
      <c r="P10" t="s">
        <v>37</v>
      </c>
    </row>
    <row r="11" spans="1:18" x14ac:dyDescent="0.25">
      <c r="A11" t="s">
        <v>30</v>
      </c>
      <c r="B11" t="s">
        <v>31</v>
      </c>
      <c r="C11" t="str">
        <f t="shared" si="0"/>
        <v>SF3_S1</v>
      </c>
      <c r="D11" t="s">
        <v>1421</v>
      </c>
      <c r="E11">
        <v>1</v>
      </c>
      <c r="F11" t="s">
        <v>1422</v>
      </c>
      <c r="G11" t="s">
        <v>54</v>
      </c>
      <c r="H11" t="s">
        <v>1407</v>
      </c>
      <c r="I11" t="s">
        <v>36</v>
      </c>
      <c r="J11">
        <v>17</v>
      </c>
      <c r="K11">
        <v>0</v>
      </c>
      <c r="L11" t="s">
        <v>5</v>
      </c>
      <c r="M11" t="s">
        <v>37</v>
      </c>
      <c r="N11" t="s">
        <v>1423</v>
      </c>
      <c r="O11" t="s">
        <v>1424</v>
      </c>
      <c r="P11" t="s">
        <v>37</v>
      </c>
    </row>
    <row r="12" spans="1:18" x14ac:dyDescent="0.25">
      <c r="A12" t="s">
        <v>30</v>
      </c>
      <c r="B12" t="s">
        <v>31</v>
      </c>
      <c r="C12" t="str">
        <f t="shared" si="0"/>
        <v>SF3_S2</v>
      </c>
      <c r="D12" t="s">
        <v>1421</v>
      </c>
      <c r="E12">
        <v>2</v>
      </c>
      <c r="F12" t="s">
        <v>1422</v>
      </c>
      <c r="G12" t="s">
        <v>49</v>
      </c>
      <c r="H12" t="s">
        <v>1407</v>
      </c>
      <c r="I12" t="s">
        <v>36</v>
      </c>
      <c r="J12">
        <v>17</v>
      </c>
      <c r="K12">
        <v>500</v>
      </c>
      <c r="L12" t="s">
        <v>5</v>
      </c>
      <c r="M12" t="s">
        <v>37</v>
      </c>
      <c r="N12" t="s">
        <v>1425</v>
      </c>
      <c r="O12" t="s">
        <v>1424</v>
      </c>
      <c r="P12" t="s">
        <v>37</v>
      </c>
      <c r="R12" t="s">
        <v>1426</v>
      </c>
    </row>
    <row r="13" spans="1:18" x14ac:dyDescent="0.25">
      <c r="A13" t="s">
        <v>30</v>
      </c>
      <c r="B13" t="s">
        <v>31</v>
      </c>
      <c r="C13" t="str">
        <f t="shared" si="0"/>
        <v>SF4_S1</v>
      </c>
      <c r="D13" t="s">
        <v>1427</v>
      </c>
      <c r="E13">
        <v>1</v>
      </c>
      <c r="F13" t="s">
        <v>1428</v>
      </c>
      <c r="G13" t="s">
        <v>54</v>
      </c>
      <c r="H13" t="s">
        <v>1407</v>
      </c>
      <c r="I13" t="s">
        <v>36</v>
      </c>
      <c r="J13">
        <v>15</v>
      </c>
      <c r="K13">
        <v>0</v>
      </c>
      <c r="L13" t="s">
        <v>5</v>
      </c>
      <c r="M13" t="s">
        <v>37</v>
      </c>
      <c r="N13" t="s">
        <v>1429</v>
      </c>
      <c r="O13" t="s">
        <v>1430</v>
      </c>
      <c r="P13" t="s">
        <v>37</v>
      </c>
    </row>
    <row r="14" spans="1:18" x14ac:dyDescent="0.25">
      <c r="A14" t="s">
        <v>30</v>
      </c>
      <c r="B14" t="s">
        <v>31</v>
      </c>
      <c r="C14" t="str">
        <f t="shared" si="0"/>
        <v>SF4_S2</v>
      </c>
      <c r="D14" t="s">
        <v>1427</v>
      </c>
      <c r="E14">
        <v>2</v>
      </c>
      <c r="F14" t="s">
        <v>1428</v>
      </c>
      <c r="G14" t="s">
        <v>49</v>
      </c>
      <c r="H14" t="s">
        <v>1407</v>
      </c>
      <c r="I14" t="s">
        <v>36</v>
      </c>
      <c r="J14">
        <v>15</v>
      </c>
      <c r="K14">
        <v>0</v>
      </c>
      <c r="L14" t="s">
        <v>5</v>
      </c>
      <c r="M14" t="s">
        <v>37</v>
      </c>
      <c r="N14" t="s">
        <v>1431</v>
      </c>
      <c r="O14" t="s">
        <v>1430</v>
      </c>
      <c r="P14" t="s">
        <v>37</v>
      </c>
    </row>
    <row r="15" spans="1:18" x14ac:dyDescent="0.25">
      <c r="A15" t="s">
        <v>30</v>
      </c>
      <c r="B15" t="s">
        <v>31</v>
      </c>
      <c r="C15" t="str">
        <f t="shared" si="0"/>
        <v>SF5_S1</v>
      </c>
      <c r="D15" t="s">
        <v>1432</v>
      </c>
      <c r="E15">
        <v>1</v>
      </c>
      <c r="F15" t="s">
        <v>1433</v>
      </c>
      <c r="G15" t="s">
        <v>54</v>
      </c>
      <c r="H15" t="s">
        <v>1407</v>
      </c>
      <c r="I15" t="s">
        <v>36</v>
      </c>
      <c r="J15">
        <v>14</v>
      </c>
      <c r="K15">
        <v>0</v>
      </c>
      <c r="L15" t="s">
        <v>5</v>
      </c>
      <c r="M15" t="s">
        <v>37</v>
      </c>
      <c r="N15" t="s">
        <v>1434</v>
      </c>
      <c r="O15" t="s">
        <v>1435</v>
      </c>
      <c r="P15" t="s">
        <v>37</v>
      </c>
    </row>
    <row r="16" spans="1:18" x14ac:dyDescent="0.25">
      <c r="A16" t="s">
        <v>30</v>
      </c>
      <c r="B16" t="s">
        <v>31</v>
      </c>
      <c r="C16" t="str">
        <f t="shared" si="0"/>
        <v>SF5_S2</v>
      </c>
      <c r="D16" t="s">
        <v>1432</v>
      </c>
      <c r="E16">
        <v>2</v>
      </c>
      <c r="F16" t="s">
        <v>1433</v>
      </c>
      <c r="G16" t="s">
        <v>49</v>
      </c>
      <c r="H16" t="s">
        <v>1407</v>
      </c>
      <c r="I16" t="s">
        <v>36</v>
      </c>
      <c r="J16">
        <v>14</v>
      </c>
      <c r="K16">
        <v>200</v>
      </c>
      <c r="L16" t="s">
        <v>5</v>
      </c>
      <c r="M16" t="s">
        <v>37</v>
      </c>
      <c r="N16" t="s">
        <v>1436</v>
      </c>
      <c r="O16" t="s">
        <v>1435</v>
      </c>
      <c r="P16" t="s">
        <v>37</v>
      </c>
    </row>
    <row r="17" spans="1:16" x14ac:dyDescent="0.25">
      <c r="A17" t="s">
        <v>30</v>
      </c>
      <c r="B17" t="s">
        <v>31</v>
      </c>
      <c r="C17" t="str">
        <f t="shared" si="0"/>
        <v>SF6_S1</v>
      </c>
      <c r="D17" t="s">
        <v>1437</v>
      </c>
      <c r="E17">
        <v>1</v>
      </c>
      <c r="F17" t="s">
        <v>1438</v>
      </c>
      <c r="G17" t="s">
        <v>54</v>
      </c>
      <c r="H17" t="s">
        <v>1407</v>
      </c>
      <c r="I17" t="s">
        <v>36</v>
      </c>
      <c r="J17">
        <v>14</v>
      </c>
      <c r="K17">
        <v>0</v>
      </c>
      <c r="L17" t="s">
        <v>5</v>
      </c>
      <c r="M17" t="s">
        <v>37</v>
      </c>
      <c r="N17" t="s">
        <v>1439</v>
      </c>
      <c r="O17" t="s">
        <v>1440</v>
      </c>
      <c r="P17" t="s">
        <v>37</v>
      </c>
    </row>
    <row r="18" spans="1:16" x14ac:dyDescent="0.25">
      <c r="A18" t="s">
        <v>30</v>
      </c>
      <c r="B18" t="s">
        <v>31</v>
      </c>
      <c r="C18" t="str">
        <f t="shared" si="0"/>
        <v>SF6_S2</v>
      </c>
      <c r="D18" t="s">
        <v>1437</v>
      </c>
      <c r="E18">
        <v>2</v>
      </c>
      <c r="F18" t="s">
        <v>1438</v>
      </c>
      <c r="G18" t="s">
        <v>49</v>
      </c>
      <c r="H18" t="s">
        <v>1407</v>
      </c>
      <c r="I18" t="s">
        <v>36</v>
      </c>
      <c r="J18">
        <v>14</v>
      </c>
      <c r="K18">
        <v>0</v>
      </c>
      <c r="L18" t="s">
        <v>5</v>
      </c>
      <c r="M18" t="s">
        <v>37</v>
      </c>
      <c r="N18" t="s">
        <v>1441</v>
      </c>
      <c r="O18" t="s">
        <v>1440</v>
      </c>
      <c r="P18" t="s">
        <v>37</v>
      </c>
    </row>
    <row r="19" spans="1:16" x14ac:dyDescent="0.25">
      <c r="A19" t="s">
        <v>30</v>
      </c>
      <c r="B19" t="s">
        <v>31</v>
      </c>
      <c r="C19" t="str">
        <f t="shared" si="0"/>
        <v>SF7NA_S1</v>
      </c>
      <c r="D19" t="s">
        <v>1442</v>
      </c>
      <c r="E19">
        <v>1</v>
      </c>
      <c r="F19" t="s">
        <v>1443</v>
      </c>
      <c r="G19" t="s">
        <v>54</v>
      </c>
      <c r="H19" t="s">
        <v>1407</v>
      </c>
      <c r="I19" t="s">
        <v>42</v>
      </c>
      <c r="J19" t="s">
        <v>37</v>
      </c>
      <c r="K19">
        <v>0</v>
      </c>
      <c r="L19" t="s">
        <v>5</v>
      </c>
      <c r="M19" t="s">
        <v>37</v>
      </c>
      <c r="N19" t="s">
        <v>1444</v>
      </c>
      <c r="O19" t="s">
        <v>1445</v>
      </c>
      <c r="P19" t="s">
        <v>37</v>
      </c>
    </row>
    <row r="20" spans="1:16" x14ac:dyDescent="0.25">
      <c r="A20" t="s">
        <v>30</v>
      </c>
      <c r="B20" t="s">
        <v>31</v>
      </c>
      <c r="C20" t="str">
        <f t="shared" si="0"/>
        <v>SF7NA_S2</v>
      </c>
      <c r="D20" t="s">
        <v>1442</v>
      </c>
      <c r="E20">
        <v>2</v>
      </c>
      <c r="F20" t="s">
        <v>1443</v>
      </c>
      <c r="G20" t="s">
        <v>49</v>
      </c>
      <c r="H20" t="s">
        <v>1407</v>
      </c>
      <c r="I20" t="s">
        <v>42</v>
      </c>
      <c r="J20" t="s">
        <v>37</v>
      </c>
      <c r="K20">
        <v>0</v>
      </c>
      <c r="L20" t="s">
        <v>5</v>
      </c>
      <c r="M20" t="s">
        <v>37</v>
      </c>
      <c r="N20" t="s">
        <v>1446</v>
      </c>
      <c r="O20" t="s">
        <v>1445</v>
      </c>
      <c r="P20" t="s">
        <v>37</v>
      </c>
    </row>
    <row r="21" spans="1:16" x14ac:dyDescent="0.25">
      <c r="A21" t="s">
        <v>30</v>
      </c>
      <c r="B21" t="s">
        <v>31</v>
      </c>
      <c r="C21" t="str">
        <f t="shared" si="0"/>
        <v>SF8_S1</v>
      </c>
      <c r="D21" t="s">
        <v>1447</v>
      </c>
      <c r="E21">
        <v>1</v>
      </c>
      <c r="F21" t="s">
        <v>1448</v>
      </c>
      <c r="G21" t="s">
        <v>54</v>
      </c>
      <c r="H21" t="s">
        <v>1407</v>
      </c>
      <c r="I21" t="s">
        <v>36</v>
      </c>
      <c r="J21">
        <v>22</v>
      </c>
      <c r="K21">
        <v>0</v>
      </c>
      <c r="L21" t="s">
        <v>5</v>
      </c>
      <c r="M21" t="s">
        <v>131</v>
      </c>
      <c r="N21" t="s">
        <v>1449</v>
      </c>
      <c r="O21" t="s">
        <v>1450</v>
      </c>
      <c r="P21" t="s">
        <v>37</v>
      </c>
    </row>
    <row r="22" spans="1:16" x14ac:dyDescent="0.25">
      <c r="A22" t="s">
        <v>30</v>
      </c>
      <c r="B22" t="s">
        <v>31</v>
      </c>
      <c r="C22" t="str">
        <f t="shared" si="0"/>
        <v>SF8_S2</v>
      </c>
      <c r="D22" t="s">
        <v>1447</v>
      </c>
      <c r="E22">
        <v>2</v>
      </c>
      <c r="F22" t="s">
        <v>1448</v>
      </c>
      <c r="G22" t="s">
        <v>1451</v>
      </c>
      <c r="H22" t="s">
        <v>1407</v>
      </c>
      <c r="I22" t="s">
        <v>36</v>
      </c>
      <c r="J22">
        <v>22</v>
      </c>
      <c r="K22">
        <v>50</v>
      </c>
      <c r="L22" t="s">
        <v>5</v>
      </c>
      <c r="M22" t="s">
        <v>131</v>
      </c>
      <c r="N22" t="s">
        <v>1452</v>
      </c>
      <c r="O22" t="s">
        <v>1450</v>
      </c>
      <c r="P22" t="s">
        <v>37</v>
      </c>
    </row>
    <row r="23" spans="1:16" x14ac:dyDescent="0.25">
      <c r="A23" t="s">
        <v>30</v>
      </c>
      <c r="B23" t="s">
        <v>31</v>
      </c>
      <c r="C23" t="str">
        <f t="shared" si="0"/>
        <v>SF8_S3</v>
      </c>
      <c r="D23" t="s">
        <v>1447</v>
      </c>
      <c r="E23">
        <v>3</v>
      </c>
      <c r="F23" t="s">
        <v>1448</v>
      </c>
      <c r="G23" t="s">
        <v>1453</v>
      </c>
      <c r="H23" t="s">
        <v>1407</v>
      </c>
      <c r="I23" t="s">
        <v>36</v>
      </c>
      <c r="J23">
        <v>22</v>
      </c>
      <c r="K23">
        <v>50</v>
      </c>
      <c r="L23" t="s">
        <v>5</v>
      </c>
      <c r="M23" t="s">
        <v>131</v>
      </c>
      <c r="N23" t="s">
        <v>1454</v>
      </c>
      <c r="O23" t="s">
        <v>37</v>
      </c>
      <c r="P23" t="s">
        <v>37</v>
      </c>
    </row>
    <row r="24" spans="1:16" x14ac:dyDescent="0.25">
      <c r="A24" t="s">
        <v>30</v>
      </c>
      <c r="B24" t="s">
        <v>31</v>
      </c>
      <c r="C24" t="str">
        <f t="shared" si="0"/>
        <v>SF9_S1</v>
      </c>
      <c r="D24" t="s">
        <v>1455</v>
      </c>
      <c r="E24">
        <v>1</v>
      </c>
      <c r="F24" t="s">
        <v>1456</v>
      </c>
      <c r="G24" t="s">
        <v>54</v>
      </c>
      <c r="H24" t="s">
        <v>1407</v>
      </c>
      <c r="I24" t="s">
        <v>36</v>
      </c>
      <c r="J24">
        <v>22</v>
      </c>
      <c r="K24">
        <v>0</v>
      </c>
      <c r="L24" t="s">
        <v>5</v>
      </c>
      <c r="M24" t="s">
        <v>37</v>
      </c>
      <c r="N24" t="s">
        <v>1457</v>
      </c>
      <c r="O24" t="s">
        <v>261</v>
      </c>
      <c r="P24" t="s">
        <v>37</v>
      </c>
    </row>
    <row r="25" spans="1:16" x14ac:dyDescent="0.25">
      <c r="A25" t="s">
        <v>30</v>
      </c>
      <c r="B25" t="s">
        <v>31</v>
      </c>
      <c r="C25" t="str">
        <f t="shared" si="0"/>
        <v>SF9_S2</v>
      </c>
      <c r="D25" t="s">
        <v>1455</v>
      </c>
      <c r="E25">
        <v>2</v>
      </c>
      <c r="F25" t="s">
        <v>1456</v>
      </c>
      <c r="G25" t="s">
        <v>49</v>
      </c>
      <c r="H25" t="s">
        <v>1407</v>
      </c>
      <c r="I25" t="s">
        <v>36</v>
      </c>
      <c r="J25">
        <v>22</v>
      </c>
      <c r="K25">
        <v>4000</v>
      </c>
      <c r="L25" t="s">
        <v>5</v>
      </c>
      <c r="M25" t="s">
        <v>37</v>
      </c>
      <c r="N25" t="s">
        <v>131</v>
      </c>
      <c r="O25" t="s">
        <v>261</v>
      </c>
      <c r="P25" t="s">
        <v>37</v>
      </c>
    </row>
    <row r="26" spans="1:16" x14ac:dyDescent="0.25">
      <c r="A26" t="s">
        <v>30</v>
      </c>
      <c r="B26" t="s">
        <v>31</v>
      </c>
      <c r="C26" t="str">
        <f t="shared" si="0"/>
        <v>SF10_S1</v>
      </c>
      <c r="D26" t="s">
        <v>1458</v>
      </c>
      <c r="E26">
        <v>1</v>
      </c>
      <c r="F26" t="s">
        <v>1459</v>
      </c>
      <c r="G26" t="s">
        <v>54</v>
      </c>
      <c r="H26" t="s">
        <v>1407</v>
      </c>
      <c r="I26" t="s">
        <v>36</v>
      </c>
      <c r="J26">
        <v>28</v>
      </c>
      <c r="K26">
        <v>0</v>
      </c>
      <c r="L26" t="s">
        <v>5</v>
      </c>
      <c r="M26" t="s">
        <v>37</v>
      </c>
      <c r="N26" t="s">
        <v>1460</v>
      </c>
      <c r="O26" t="s">
        <v>1461</v>
      </c>
      <c r="P26" t="s">
        <v>37</v>
      </c>
    </row>
    <row r="27" spans="1:16" x14ac:dyDescent="0.25">
      <c r="A27" t="s">
        <v>30</v>
      </c>
      <c r="B27" t="s">
        <v>31</v>
      </c>
      <c r="C27" t="str">
        <f t="shared" si="0"/>
        <v>SF10_S2</v>
      </c>
      <c r="D27" t="s">
        <v>1458</v>
      </c>
      <c r="E27">
        <v>2</v>
      </c>
      <c r="F27" t="s">
        <v>1459</v>
      </c>
      <c r="G27" t="s">
        <v>49</v>
      </c>
      <c r="H27" t="s">
        <v>1407</v>
      </c>
      <c r="I27" t="s">
        <v>36</v>
      </c>
      <c r="J27">
        <v>28</v>
      </c>
      <c r="K27">
        <v>0</v>
      </c>
      <c r="L27" t="s">
        <v>5</v>
      </c>
      <c r="M27" t="s">
        <v>37</v>
      </c>
      <c r="N27" t="s">
        <v>1462</v>
      </c>
      <c r="O27" t="s">
        <v>1461</v>
      </c>
      <c r="P27" t="s">
        <v>37</v>
      </c>
    </row>
    <row r="28" spans="1:16" x14ac:dyDescent="0.25">
      <c r="A28" t="s">
        <v>30</v>
      </c>
      <c r="B28" t="s">
        <v>31</v>
      </c>
      <c r="C28" t="str">
        <f t="shared" si="0"/>
        <v>SF11_S1</v>
      </c>
      <c r="D28" t="s">
        <v>1463</v>
      </c>
      <c r="E28">
        <v>1</v>
      </c>
      <c r="F28" t="s">
        <v>1464</v>
      </c>
      <c r="G28" t="s">
        <v>49</v>
      </c>
      <c r="H28" t="s">
        <v>1407</v>
      </c>
      <c r="I28" t="s">
        <v>36</v>
      </c>
      <c r="J28">
        <v>28</v>
      </c>
      <c r="K28">
        <v>0</v>
      </c>
      <c r="L28" t="s">
        <v>5</v>
      </c>
      <c r="M28" t="s">
        <v>37</v>
      </c>
      <c r="N28" t="s">
        <v>1465</v>
      </c>
      <c r="O28" t="s">
        <v>37</v>
      </c>
      <c r="P28" t="s">
        <v>37</v>
      </c>
    </row>
    <row r="29" spans="1:16" x14ac:dyDescent="0.25">
      <c r="A29" t="s">
        <v>30</v>
      </c>
      <c r="B29" t="s">
        <v>31</v>
      </c>
      <c r="C29" t="str">
        <f t="shared" si="0"/>
        <v>SF11_S2</v>
      </c>
      <c r="D29" t="s">
        <v>1463</v>
      </c>
      <c r="E29">
        <v>2</v>
      </c>
      <c r="F29" t="s">
        <v>1464</v>
      </c>
      <c r="G29" t="s">
        <v>49</v>
      </c>
      <c r="H29" t="s">
        <v>1407</v>
      </c>
      <c r="I29" t="s">
        <v>36</v>
      </c>
      <c r="J29">
        <v>28</v>
      </c>
      <c r="K29">
        <v>200</v>
      </c>
      <c r="L29" t="s">
        <v>5</v>
      </c>
      <c r="M29" t="s">
        <v>37</v>
      </c>
      <c r="N29" t="s">
        <v>1466</v>
      </c>
      <c r="O29" t="s">
        <v>37</v>
      </c>
      <c r="P29" t="s">
        <v>37</v>
      </c>
    </row>
    <row r="30" spans="1:16" x14ac:dyDescent="0.25">
      <c r="A30" t="s">
        <v>30</v>
      </c>
      <c r="B30" t="s">
        <v>31</v>
      </c>
      <c r="C30" t="str">
        <f t="shared" si="0"/>
        <v>SF12_S1</v>
      </c>
      <c r="D30" t="s">
        <v>1467</v>
      </c>
      <c r="E30">
        <v>1</v>
      </c>
      <c r="F30" t="s">
        <v>1468</v>
      </c>
      <c r="G30" t="s">
        <v>54</v>
      </c>
      <c r="H30" t="s">
        <v>1407</v>
      </c>
      <c r="I30" t="s">
        <v>36</v>
      </c>
      <c r="J30">
        <v>28</v>
      </c>
      <c r="K30">
        <v>0</v>
      </c>
      <c r="L30" t="s">
        <v>5</v>
      </c>
      <c r="M30" t="s">
        <v>37</v>
      </c>
      <c r="N30" t="s">
        <v>1469</v>
      </c>
      <c r="O30" t="s">
        <v>1470</v>
      </c>
      <c r="P30" t="s">
        <v>37</v>
      </c>
    </row>
    <row r="31" spans="1:16" x14ac:dyDescent="0.25">
      <c r="A31" t="s">
        <v>30</v>
      </c>
      <c r="B31" t="s">
        <v>31</v>
      </c>
      <c r="C31" t="str">
        <f t="shared" si="0"/>
        <v>SF12_S2</v>
      </c>
      <c r="D31" t="s">
        <v>1467</v>
      </c>
      <c r="E31">
        <v>2</v>
      </c>
      <c r="F31" t="s">
        <v>1468</v>
      </c>
      <c r="G31" t="s">
        <v>49</v>
      </c>
      <c r="H31" t="s">
        <v>1407</v>
      </c>
      <c r="I31" t="s">
        <v>36</v>
      </c>
      <c r="J31">
        <v>28</v>
      </c>
      <c r="K31">
        <v>500</v>
      </c>
      <c r="L31" t="s">
        <v>5</v>
      </c>
      <c r="M31" t="s">
        <v>37</v>
      </c>
      <c r="N31" t="s">
        <v>1471</v>
      </c>
      <c r="O31" t="s">
        <v>1470</v>
      </c>
      <c r="P31" t="s">
        <v>37</v>
      </c>
    </row>
    <row r="32" spans="1:16" x14ac:dyDescent="0.25">
      <c r="A32" t="s">
        <v>30</v>
      </c>
      <c r="B32" t="s">
        <v>31</v>
      </c>
      <c r="C32" t="str">
        <f t="shared" si="0"/>
        <v>SF13_S1</v>
      </c>
      <c r="D32" t="s">
        <v>1472</v>
      </c>
      <c r="E32">
        <v>1</v>
      </c>
      <c r="F32" t="s">
        <v>1473</v>
      </c>
      <c r="G32" t="s">
        <v>54</v>
      </c>
      <c r="H32" t="s">
        <v>1407</v>
      </c>
      <c r="I32" t="s">
        <v>36</v>
      </c>
      <c r="J32">
        <v>31</v>
      </c>
      <c r="K32">
        <v>0</v>
      </c>
      <c r="L32" t="s">
        <v>5</v>
      </c>
      <c r="M32" t="s">
        <v>37</v>
      </c>
      <c r="N32" t="s">
        <v>1474</v>
      </c>
      <c r="O32" t="s">
        <v>1475</v>
      </c>
      <c r="P32" t="s">
        <v>37</v>
      </c>
    </row>
    <row r="33" spans="1:16" x14ac:dyDescent="0.25">
      <c r="A33" t="s">
        <v>30</v>
      </c>
      <c r="B33" t="s">
        <v>31</v>
      </c>
      <c r="C33" t="str">
        <f t="shared" si="0"/>
        <v>SF13_S2</v>
      </c>
      <c r="D33" t="s">
        <v>1472</v>
      </c>
      <c r="E33">
        <v>2</v>
      </c>
      <c r="F33" t="s">
        <v>1473</v>
      </c>
      <c r="G33" t="s">
        <v>49</v>
      </c>
      <c r="H33" t="s">
        <v>1407</v>
      </c>
      <c r="I33" t="s">
        <v>36</v>
      </c>
      <c r="J33">
        <v>31</v>
      </c>
      <c r="K33">
        <v>300</v>
      </c>
      <c r="L33" t="s">
        <v>5</v>
      </c>
      <c r="M33" t="s">
        <v>37</v>
      </c>
      <c r="N33" t="s">
        <v>1476</v>
      </c>
      <c r="O33" t="s">
        <v>1475</v>
      </c>
      <c r="P33" t="s">
        <v>37</v>
      </c>
    </row>
    <row r="34" spans="1:16" x14ac:dyDescent="0.25">
      <c r="A34" t="s">
        <v>30</v>
      </c>
      <c r="B34" t="s">
        <v>31</v>
      </c>
      <c r="C34" t="str">
        <f t="shared" ref="C34:C65" si="1">_xlfn.CONCAT(D34,"_S",E34)</f>
        <v>SF14_S1</v>
      </c>
      <c r="D34" t="s">
        <v>1477</v>
      </c>
      <c r="E34">
        <v>1</v>
      </c>
      <c r="F34" t="s">
        <v>1478</v>
      </c>
      <c r="G34" t="s">
        <v>54</v>
      </c>
      <c r="H34" t="s">
        <v>1407</v>
      </c>
      <c r="I34" t="s">
        <v>36</v>
      </c>
      <c r="J34">
        <v>28</v>
      </c>
      <c r="K34">
        <v>0</v>
      </c>
      <c r="L34" t="s">
        <v>5</v>
      </c>
      <c r="M34" t="s">
        <v>37</v>
      </c>
      <c r="N34" t="s">
        <v>1479</v>
      </c>
      <c r="O34" t="s">
        <v>1480</v>
      </c>
      <c r="P34" t="s">
        <v>37</v>
      </c>
    </row>
    <row r="35" spans="1:16" x14ac:dyDescent="0.25">
      <c r="A35" t="s">
        <v>30</v>
      </c>
      <c r="B35" t="s">
        <v>31</v>
      </c>
      <c r="C35" t="str">
        <f t="shared" si="1"/>
        <v>SF14_S2</v>
      </c>
      <c r="D35" t="s">
        <v>1477</v>
      </c>
      <c r="E35">
        <v>2</v>
      </c>
      <c r="F35" t="s">
        <v>1478</v>
      </c>
      <c r="G35" t="s">
        <v>49</v>
      </c>
      <c r="H35" t="s">
        <v>1407</v>
      </c>
      <c r="I35" t="s">
        <v>36</v>
      </c>
      <c r="J35">
        <v>28</v>
      </c>
      <c r="K35">
        <v>100</v>
      </c>
      <c r="L35" t="s">
        <v>5</v>
      </c>
      <c r="M35" t="s">
        <v>37</v>
      </c>
      <c r="N35" t="s">
        <v>1481</v>
      </c>
      <c r="O35" t="s">
        <v>1480</v>
      </c>
      <c r="P35" t="s">
        <v>37</v>
      </c>
    </row>
    <row r="36" spans="1:16" x14ac:dyDescent="0.25">
      <c r="A36" t="s">
        <v>30</v>
      </c>
      <c r="B36" t="s">
        <v>31</v>
      </c>
      <c r="C36" t="str">
        <f t="shared" si="1"/>
        <v>SF15_S1</v>
      </c>
      <c r="D36" t="s">
        <v>1482</v>
      </c>
      <c r="E36">
        <v>1</v>
      </c>
      <c r="F36" t="s">
        <v>1483</v>
      </c>
      <c r="G36" t="s">
        <v>54</v>
      </c>
      <c r="H36" t="s">
        <v>1407</v>
      </c>
      <c r="I36" t="s">
        <v>36</v>
      </c>
      <c r="J36">
        <v>30</v>
      </c>
      <c r="K36">
        <v>0</v>
      </c>
      <c r="L36" t="s">
        <v>5</v>
      </c>
      <c r="M36" t="s">
        <v>37</v>
      </c>
      <c r="N36" t="s">
        <v>1484</v>
      </c>
      <c r="O36" t="s">
        <v>1485</v>
      </c>
      <c r="P36" t="s">
        <v>37</v>
      </c>
    </row>
    <row r="37" spans="1:16" ht="14.25" customHeight="1" x14ac:dyDescent="0.25">
      <c r="A37" t="s">
        <v>30</v>
      </c>
      <c r="B37" t="s">
        <v>31</v>
      </c>
      <c r="C37" t="str">
        <f t="shared" si="1"/>
        <v>SF15_S2</v>
      </c>
      <c r="D37" t="s">
        <v>1482</v>
      </c>
      <c r="E37">
        <v>2</v>
      </c>
      <c r="F37" t="s">
        <v>1483</v>
      </c>
      <c r="G37" t="s">
        <v>49</v>
      </c>
      <c r="H37" t="s">
        <v>1407</v>
      </c>
      <c r="I37" t="s">
        <v>36</v>
      </c>
      <c r="J37">
        <v>30</v>
      </c>
      <c r="K37">
        <v>500</v>
      </c>
      <c r="L37" t="s">
        <v>5</v>
      </c>
      <c r="M37" t="s">
        <v>37</v>
      </c>
      <c r="N37" t="s">
        <v>1486</v>
      </c>
      <c r="O37" t="s">
        <v>1485</v>
      </c>
      <c r="P37" t="s">
        <v>37</v>
      </c>
    </row>
    <row r="38" spans="1:16" ht="14.25" customHeight="1" x14ac:dyDescent="0.25">
      <c r="A38" t="s">
        <v>30</v>
      </c>
      <c r="B38" t="s">
        <v>31</v>
      </c>
      <c r="C38" t="str">
        <f t="shared" si="1"/>
        <v>SF16_S1</v>
      </c>
      <c r="D38" t="s">
        <v>1487</v>
      </c>
      <c r="E38">
        <v>1</v>
      </c>
      <c r="F38" t="s">
        <v>1488</v>
      </c>
      <c r="G38" t="s">
        <v>54</v>
      </c>
      <c r="H38" t="s">
        <v>1407</v>
      </c>
      <c r="I38" t="s">
        <v>36</v>
      </c>
      <c r="J38">
        <v>30</v>
      </c>
      <c r="K38">
        <v>0</v>
      </c>
      <c r="L38" t="s">
        <v>5</v>
      </c>
      <c r="M38" t="s">
        <v>37</v>
      </c>
      <c r="N38" t="s">
        <v>1489</v>
      </c>
      <c r="O38" t="s">
        <v>1485</v>
      </c>
      <c r="P38" t="s">
        <v>37</v>
      </c>
    </row>
    <row r="39" spans="1:16" x14ac:dyDescent="0.25">
      <c r="A39" t="s">
        <v>30</v>
      </c>
      <c r="B39" t="s">
        <v>31</v>
      </c>
      <c r="C39" t="str">
        <f t="shared" si="1"/>
        <v>SF16_S2</v>
      </c>
      <c r="D39" t="s">
        <v>1487</v>
      </c>
      <c r="E39">
        <v>2</v>
      </c>
      <c r="F39" t="s">
        <v>1488</v>
      </c>
      <c r="G39" t="s">
        <v>49</v>
      </c>
      <c r="H39" t="s">
        <v>1407</v>
      </c>
      <c r="I39" t="s">
        <v>36</v>
      </c>
      <c r="J39">
        <v>30</v>
      </c>
      <c r="K39">
        <v>1000</v>
      </c>
      <c r="L39" t="s">
        <v>5</v>
      </c>
      <c r="M39" t="s">
        <v>37</v>
      </c>
      <c r="N39" t="s">
        <v>70</v>
      </c>
      <c r="O39" t="s">
        <v>1485</v>
      </c>
      <c r="P39" t="s">
        <v>37</v>
      </c>
    </row>
    <row r="40" spans="1:16" x14ac:dyDescent="0.25">
      <c r="A40" t="s">
        <v>266</v>
      </c>
      <c r="B40" t="s">
        <v>31</v>
      </c>
      <c r="C40" t="str">
        <f t="shared" si="1"/>
        <v>SZP1NA_S1</v>
      </c>
      <c r="D40" t="s">
        <v>1490</v>
      </c>
      <c r="E40">
        <v>1</v>
      </c>
      <c r="F40" t="s">
        <v>1491</v>
      </c>
      <c r="G40" t="s">
        <v>54</v>
      </c>
      <c r="H40" t="s">
        <v>1407</v>
      </c>
      <c r="I40" t="s">
        <v>42</v>
      </c>
      <c r="J40" t="s">
        <v>37</v>
      </c>
      <c r="K40">
        <v>0</v>
      </c>
      <c r="L40" t="s">
        <v>12</v>
      </c>
      <c r="M40" t="s">
        <v>37</v>
      </c>
      <c r="N40" t="s">
        <v>1409</v>
      </c>
      <c r="O40" t="s">
        <v>1492</v>
      </c>
      <c r="P40" t="s">
        <v>37</v>
      </c>
    </row>
    <row r="41" spans="1:16" x14ac:dyDescent="0.25">
      <c r="A41" t="s">
        <v>266</v>
      </c>
      <c r="B41" t="s">
        <v>31</v>
      </c>
      <c r="C41" t="str">
        <f t="shared" si="1"/>
        <v>SZP1NA_S2</v>
      </c>
      <c r="D41" t="s">
        <v>1490</v>
      </c>
      <c r="E41">
        <v>2</v>
      </c>
      <c r="F41" t="s">
        <v>1491</v>
      </c>
      <c r="G41" t="s">
        <v>49</v>
      </c>
      <c r="H41" t="s">
        <v>1407</v>
      </c>
      <c r="I41" t="s">
        <v>42</v>
      </c>
      <c r="J41" t="s">
        <v>37</v>
      </c>
      <c r="K41">
        <v>30</v>
      </c>
      <c r="L41" t="s">
        <v>12</v>
      </c>
      <c r="M41" t="s">
        <v>37</v>
      </c>
      <c r="N41" t="s">
        <v>1493</v>
      </c>
      <c r="O41" t="s">
        <v>1492</v>
      </c>
      <c r="P41" t="s">
        <v>37</v>
      </c>
    </row>
    <row r="42" spans="1:16" x14ac:dyDescent="0.25">
      <c r="A42" t="s">
        <v>266</v>
      </c>
      <c r="B42" t="s">
        <v>31</v>
      </c>
      <c r="C42" t="str">
        <f t="shared" si="1"/>
        <v>SZP2NA_S1</v>
      </c>
      <c r="D42" t="s">
        <v>1494</v>
      </c>
      <c r="E42">
        <v>1</v>
      </c>
      <c r="F42" t="s">
        <v>1495</v>
      </c>
      <c r="G42" t="s">
        <v>54</v>
      </c>
      <c r="H42" t="s">
        <v>1407</v>
      </c>
      <c r="I42" t="s">
        <v>42</v>
      </c>
      <c r="J42" t="s">
        <v>37</v>
      </c>
      <c r="K42">
        <v>0</v>
      </c>
      <c r="L42" t="s">
        <v>12</v>
      </c>
      <c r="M42" t="s">
        <v>37</v>
      </c>
      <c r="N42" t="s">
        <v>1409</v>
      </c>
      <c r="O42" t="s">
        <v>1496</v>
      </c>
      <c r="P42" t="s">
        <v>37</v>
      </c>
    </row>
    <row r="43" spans="1:16" x14ac:dyDescent="0.25">
      <c r="A43" t="s">
        <v>266</v>
      </c>
      <c r="B43" t="s">
        <v>31</v>
      </c>
      <c r="C43" t="str">
        <f t="shared" si="1"/>
        <v>SZP2NA_S2</v>
      </c>
      <c r="D43" t="s">
        <v>1494</v>
      </c>
      <c r="E43">
        <v>2</v>
      </c>
      <c r="F43" t="s">
        <v>1495</v>
      </c>
      <c r="G43" t="s">
        <v>49</v>
      </c>
      <c r="H43" t="s">
        <v>1407</v>
      </c>
      <c r="I43" t="s">
        <v>42</v>
      </c>
      <c r="J43" t="s">
        <v>37</v>
      </c>
      <c r="K43">
        <v>50</v>
      </c>
      <c r="L43" t="s">
        <v>12</v>
      </c>
      <c r="M43" t="s">
        <v>37</v>
      </c>
      <c r="N43" t="s">
        <v>1497</v>
      </c>
      <c r="O43" t="s">
        <v>1496</v>
      </c>
      <c r="P43" t="s">
        <v>37</v>
      </c>
    </row>
    <row r="44" spans="1:16" x14ac:dyDescent="0.25">
      <c r="A44" t="s">
        <v>266</v>
      </c>
      <c r="B44" t="s">
        <v>31</v>
      </c>
      <c r="C44" t="str">
        <f t="shared" si="1"/>
        <v>SZP3NA_S1</v>
      </c>
      <c r="D44" t="s">
        <v>1498</v>
      </c>
      <c r="E44">
        <v>1</v>
      </c>
      <c r="F44" t="s">
        <v>1499</v>
      </c>
      <c r="G44" t="s">
        <v>54</v>
      </c>
      <c r="H44" t="s">
        <v>1407</v>
      </c>
      <c r="I44" t="s">
        <v>42</v>
      </c>
      <c r="J44" t="s">
        <v>37</v>
      </c>
      <c r="K44">
        <v>0</v>
      </c>
      <c r="L44" t="s">
        <v>12</v>
      </c>
      <c r="M44" t="s">
        <v>37</v>
      </c>
      <c r="N44" t="s">
        <v>1409</v>
      </c>
      <c r="O44" t="s">
        <v>1500</v>
      </c>
      <c r="P44" t="s">
        <v>37</v>
      </c>
    </row>
    <row r="45" spans="1:16" x14ac:dyDescent="0.25">
      <c r="A45" t="s">
        <v>266</v>
      </c>
      <c r="B45" t="s">
        <v>31</v>
      </c>
      <c r="C45" t="str">
        <f t="shared" si="1"/>
        <v>SZP3NA_S2</v>
      </c>
      <c r="D45" t="s">
        <v>1498</v>
      </c>
      <c r="E45">
        <v>2</v>
      </c>
      <c r="F45" t="s">
        <v>1499</v>
      </c>
      <c r="G45" t="s">
        <v>49</v>
      </c>
      <c r="H45" t="s">
        <v>1407</v>
      </c>
      <c r="I45" t="s">
        <v>42</v>
      </c>
      <c r="J45" t="s">
        <v>37</v>
      </c>
      <c r="K45">
        <v>50</v>
      </c>
      <c r="L45" t="s">
        <v>12</v>
      </c>
      <c r="M45" t="s">
        <v>37</v>
      </c>
      <c r="N45" t="s">
        <v>1501</v>
      </c>
      <c r="O45" t="s">
        <v>1500</v>
      </c>
      <c r="P45" t="s">
        <v>37</v>
      </c>
    </row>
    <row r="46" spans="1:16" x14ac:dyDescent="0.25">
      <c r="A46" t="s">
        <v>266</v>
      </c>
      <c r="B46" t="s">
        <v>31</v>
      </c>
      <c r="C46" t="str">
        <f t="shared" si="1"/>
        <v>SZP4NA_S1</v>
      </c>
      <c r="D46" t="s">
        <v>1502</v>
      </c>
      <c r="E46">
        <v>1</v>
      </c>
      <c r="F46" t="s">
        <v>1503</v>
      </c>
      <c r="G46" t="s">
        <v>54</v>
      </c>
      <c r="H46" t="s">
        <v>1407</v>
      </c>
      <c r="I46" t="s">
        <v>42</v>
      </c>
      <c r="J46" t="s">
        <v>37</v>
      </c>
      <c r="K46">
        <v>0</v>
      </c>
      <c r="L46" t="s">
        <v>12</v>
      </c>
      <c r="M46" t="s">
        <v>37</v>
      </c>
      <c r="N46" t="s">
        <v>1409</v>
      </c>
      <c r="O46" t="s">
        <v>1504</v>
      </c>
      <c r="P46" t="s">
        <v>37</v>
      </c>
    </row>
    <row r="47" spans="1:16" x14ac:dyDescent="0.25">
      <c r="A47" t="s">
        <v>266</v>
      </c>
      <c r="B47" t="s">
        <v>31</v>
      </c>
      <c r="C47" t="str">
        <f t="shared" si="1"/>
        <v>SZP4NA_S2</v>
      </c>
      <c r="D47" t="s">
        <v>1502</v>
      </c>
      <c r="E47">
        <v>2</v>
      </c>
      <c r="F47" t="s">
        <v>1505</v>
      </c>
      <c r="G47" t="s">
        <v>1506</v>
      </c>
      <c r="H47" t="s">
        <v>1407</v>
      </c>
      <c r="I47" t="s">
        <v>42</v>
      </c>
      <c r="J47" t="s">
        <v>37</v>
      </c>
      <c r="K47">
        <v>25</v>
      </c>
      <c r="L47" t="s">
        <v>12</v>
      </c>
      <c r="M47" t="s">
        <v>37</v>
      </c>
      <c r="N47" t="s">
        <v>1507</v>
      </c>
      <c r="O47" t="s">
        <v>1504</v>
      </c>
      <c r="P47" t="s">
        <v>37</v>
      </c>
    </row>
    <row r="48" spans="1:16" x14ac:dyDescent="0.25">
      <c r="A48" t="s">
        <v>266</v>
      </c>
      <c r="B48" t="s">
        <v>31</v>
      </c>
      <c r="C48" t="str">
        <f t="shared" si="1"/>
        <v>SZP4NA_S3</v>
      </c>
      <c r="D48" t="s">
        <v>1502</v>
      </c>
      <c r="E48">
        <v>3</v>
      </c>
      <c r="F48" t="s">
        <v>1508</v>
      </c>
      <c r="G48" t="s">
        <v>1509</v>
      </c>
      <c r="H48" t="s">
        <v>1407</v>
      </c>
      <c r="I48" t="s">
        <v>42</v>
      </c>
      <c r="J48" t="s">
        <v>37</v>
      </c>
      <c r="K48">
        <v>25</v>
      </c>
      <c r="L48" t="s">
        <v>12</v>
      </c>
      <c r="M48" t="s">
        <v>37</v>
      </c>
      <c r="N48" t="s">
        <v>1510</v>
      </c>
      <c r="O48" t="s">
        <v>37</v>
      </c>
      <c r="P48" t="s">
        <v>37</v>
      </c>
    </row>
    <row r="49" spans="1:16" x14ac:dyDescent="0.25">
      <c r="A49" t="s">
        <v>266</v>
      </c>
      <c r="B49" t="s">
        <v>31</v>
      </c>
      <c r="C49" t="str">
        <f t="shared" si="1"/>
        <v>SZP4NA_S4</v>
      </c>
      <c r="D49" t="s">
        <v>1502</v>
      </c>
      <c r="E49">
        <v>4</v>
      </c>
      <c r="F49" t="s">
        <v>1511</v>
      </c>
      <c r="G49" t="s">
        <v>1512</v>
      </c>
      <c r="H49" t="s">
        <v>1407</v>
      </c>
      <c r="I49" t="s">
        <v>42</v>
      </c>
      <c r="J49" t="s">
        <v>37</v>
      </c>
      <c r="K49">
        <v>25</v>
      </c>
      <c r="L49" t="s">
        <v>12</v>
      </c>
      <c r="M49" t="s">
        <v>37</v>
      </c>
      <c r="N49" t="s">
        <v>1513</v>
      </c>
      <c r="O49" t="s">
        <v>37</v>
      </c>
      <c r="P49" t="s">
        <v>37</v>
      </c>
    </row>
    <row r="50" spans="1:16" x14ac:dyDescent="0.25">
      <c r="A50" t="s">
        <v>266</v>
      </c>
      <c r="B50" t="s">
        <v>31</v>
      </c>
      <c r="C50" t="str">
        <f t="shared" si="1"/>
        <v>SZP4NA_S5</v>
      </c>
      <c r="D50" t="s">
        <v>1502</v>
      </c>
      <c r="E50">
        <v>5</v>
      </c>
      <c r="F50" t="s">
        <v>1514</v>
      </c>
      <c r="G50" t="s">
        <v>1515</v>
      </c>
      <c r="H50" t="s">
        <v>1407</v>
      </c>
      <c r="I50" t="s">
        <v>42</v>
      </c>
      <c r="J50" t="s">
        <v>37</v>
      </c>
      <c r="K50">
        <v>25</v>
      </c>
      <c r="L50" t="s">
        <v>12</v>
      </c>
      <c r="M50" t="s">
        <v>37</v>
      </c>
      <c r="N50" t="s">
        <v>1516</v>
      </c>
      <c r="O50" t="s">
        <v>37</v>
      </c>
      <c r="P50" t="s">
        <v>37</v>
      </c>
    </row>
    <row r="51" spans="1:16" x14ac:dyDescent="0.25">
      <c r="A51" t="s">
        <v>266</v>
      </c>
      <c r="B51" t="s">
        <v>31</v>
      </c>
      <c r="C51" t="str">
        <f t="shared" si="1"/>
        <v>SZP4NA_S6</v>
      </c>
      <c r="D51" t="s">
        <v>1502</v>
      </c>
      <c r="E51">
        <v>6</v>
      </c>
      <c r="F51" t="s">
        <v>1517</v>
      </c>
      <c r="G51" t="s">
        <v>1518</v>
      </c>
      <c r="H51" t="s">
        <v>1407</v>
      </c>
      <c r="I51" t="s">
        <v>42</v>
      </c>
      <c r="J51" t="s">
        <v>37</v>
      </c>
      <c r="K51">
        <v>25</v>
      </c>
      <c r="L51" t="s">
        <v>12</v>
      </c>
      <c r="M51" t="s">
        <v>37</v>
      </c>
      <c r="N51" t="s">
        <v>1519</v>
      </c>
      <c r="O51" t="s">
        <v>37</v>
      </c>
      <c r="P51" t="s">
        <v>37</v>
      </c>
    </row>
    <row r="52" spans="1:16" x14ac:dyDescent="0.25">
      <c r="A52" t="s">
        <v>266</v>
      </c>
      <c r="B52" t="s">
        <v>31</v>
      </c>
      <c r="C52" t="str">
        <f t="shared" si="1"/>
        <v>SZP5NA_S1</v>
      </c>
      <c r="D52" t="s">
        <v>1520</v>
      </c>
      <c r="E52">
        <v>1</v>
      </c>
      <c r="F52" t="s">
        <v>1521</v>
      </c>
      <c r="G52" t="s">
        <v>54</v>
      </c>
      <c r="H52" t="s">
        <v>1407</v>
      </c>
      <c r="I52" t="s">
        <v>42</v>
      </c>
      <c r="J52" t="s">
        <v>37</v>
      </c>
      <c r="K52">
        <v>0</v>
      </c>
      <c r="L52" t="s">
        <v>12</v>
      </c>
      <c r="M52" t="s">
        <v>37</v>
      </c>
      <c r="N52" t="s">
        <v>1409</v>
      </c>
      <c r="O52" t="s">
        <v>1522</v>
      </c>
      <c r="P52" t="s">
        <v>37</v>
      </c>
    </row>
    <row r="53" spans="1:16" x14ac:dyDescent="0.25">
      <c r="A53" t="s">
        <v>266</v>
      </c>
      <c r="B53" t="s">
        <v>31</v>
      </c>
      <c r="C53" t="str">
        <f t="shared" si="1"/>
        <v>SZP5NA_S2</v>
      </c>
      <c r="D53" t="s">
        <v>1520</v>
      </c>
      <c r="E53">
        <v>2</v>
      </c>
      <c r="F53" t="s">
        <v>1521</v>
      </c>
      <c r="G53" t="s">
        <v>1523</v>
      </c>
      <c r="H53" t="s">
        <v>1407</v>
      </c>
      <c r="I53" t="s">
        <v>42</v>
      </c>
      <c r="J53" t="s">
        <v>37</v>
      </c>
      <c r="K53">
        <v>50</v>
      </c>
      <c r="L53" t="s">
        <v>12</v>
      </c>
      <c r="M53" t="s">
        <v>37</v>
      </c>
      <c r="N53" t="s">
        <v>1524</v>
      </c>
      <c r="O53" t="s">
        <v>1522</v>
      </c>
      <c r="P53" t="s">
        <v>37</v>
      </c>
    </row>
    <row r="54" spans="1:16" x14ac:dyDescent="0.25">
      <c r="A54" t="s">
        <v>266</v>
      </c>
      <c r="B54" t="s">
        <v>31</v>
      </c>
      <c r="C54" t="str">
        <f t="shared" si="1"/>
        <v>SZP6NA_S1</v>
      </c>
      <c r="D54" t="s">
        <v>1525</v>
      </c>
      <c r="E54">
        <v>1</v>
      </c>
      <c r="F54" t="s">
        <v>1526</v>
      </c>
      <c r="G54" t="s">
        <v>54</v>
      </c>
      <c r="H54" t="s">
        <v>1407</v>
      </c>
      <c r="I54" t="s">
        <v>42</v>
      </c>
      <c r="J54" t="s">
        <v>37</v>
      </c>
      <c r="K54">
        <v>0</v>
      </c>
      <c r="L54" t="s">
        <v>12</v>
      </c>
      <c r="M54" t="s">
        <v>37</v>
      </c>
      <c r="N54" t="s">
        <v>1409</v>
      </c>
      <c r="O54" t="s">
        <v>1527</v>
      </c>
      <c r="P54" t="s">
        <v>37</v>
      </c>
    </row>
    <row r="55" spans="1:16" x14ac:dyDescent="0.25">
      <c r="A55" t="s">
        <v>266</v>
      </c>
      <c r="B55" t="s">
        <v>31</v>
      </c>
      <c r="C55" t="str">
        <f t="shared" si="1"/>
        <v>SZP6NA_S2</v>
      </c>
      <c r="D55" t="s">
        <v>1525</v>
      </c>
      <c r="E55">
        <v>2</v>
      </c>
      <c r="F55" t="s">
        <v>1526</v>
      </c>
      <c r="G55" t="s">
        <v>49</v>
      </c>
      <c r="H55" t="s">
        <v>1407</v>
      </c>
      <c r="I55" t="s">
        <v>42</v>
      </c>
      <c r="J55" t="s">
        <v>37</v>
      </c>
      <c r="K55">
        <v>0</v>
      </c>
      <c r="L55" t="s">
        <v>12</v>
      </c>
      <c r="M55" t="s">
        <v>37</v>
      </c>
      <c r="N55" t="s">
        <v>1528</v>
      </c>
      <c r="O55" t="s">
        <v>1527</v>
      </c>
      <c r="P55" t="s">
        <v>37</v>
      </c>
    </row>
    <row r="56" spans="1:16" x14ac:dyDescent="0.25">
      <c r="A56" t="s">
        <v>266</v>
      </c>
      <c r="B56" t="s">
        <v>31</v>
      </c>
      <c r="C56" t="str">
        <f t="shared" si="1"/>
        <v>SZP7NA_S1</v>
      </c>
      <c r="D56" t="s">
        <v>1529</v>
      </c>
      <c r="E56">
        <v>1</v>
      </c>
      <c r="F56" t="s">
        <v>1530</v>
      </c>
      <c r="G56" t="s">
        <v>54</v>
      </c>
      <c r="H56" t="s">
        <v>1407</v>
      </c>
      <c r="I56" t="s">
        <v>42</v>
      </c>
      <c r="J56" t="s">
        <v>37</v>
      </c>
      <c r="K56">
        <v>0</v>
      </c>
      <c r="L56" t="s">
        <v>12</v>
      </c>
      <c r="M56" t="s">
        <v>37</v>
      </c>
      <c r="N56" t="s">
        <v>1409</v>
      </c>
      <c r="O56" t="s">
        <v>1531</v>
      </c>
      <c r="P56" t="s">
        <v>37</v>
      </c>
    </row>
    <row r="57" spans="1:16" x14ac:dyDescent="0.25">
      <c r="A57" t="s">
        <v>266</v>
      </c>
      <c r="B57" t="s">
        <v>31</v>
      </c>
      <c r="C57" t="str">
        <f t="shared" si="1"/>
        <v>SZP7NA_S2</v>
      </c>
      <c r="D57" t="s">
        <v>1529</v>
      </c>
      <c r="E57">
        <v>2</v>
      </c>
      <c r="F57" t="s">
        <v>1530</v>
      </c>
      <c r="G57" t="s">
        <v>49</v>
      </c>
      <c r="H57" t="s">
        <v>1407</v>
      </c>
      <c r="I57" t="s">
        <v>42</v>
      </c>
      <c r="J57" t="s">
        <v>37</v>
      </c>
      <c r="K57">
        <v>50</v>
      </c>
      <c r="L57" t="s">
        <v>12</v>
      </c>
      <c r="M57" t="s">
        <v>37</v>
      </c>
      <c r="N57" t="s">
        <v>1532</v>
      </c>
      <c r="O57" t="s">
        <v>1531</v>
      </c>
      <c r="P57" t="s">
        <v>37</v>
      </c>
    </row>
    <row r="58" spans="1:16" x14ac:dyDescent="0.25">
      <c r="A58" t="s">
        <v>266</v>
      </c>
      <c r="B58" t="s">
        <v>31</v>
      </c>
      <c r="C58" t="str">
        <f t="shared" si="1"/>
        <v>SZP8NA_S1</v>
      </c>
      <c r="D58" t="s">
        <v>1533</v>
      </c>
      <c r="E58">
        <v>1</v>
      </c>
      <c r="F58" t="s">
        <v>1534</v>
      </c>
      <c r="G58" t="s">
        <v>1535</v>
      </c>
      <c r="H58" t="s">
        <v>1407</v>
      </c>
      <c r="I58" t="s">
        <v>42</v>
      </c>
      <c r="J58" t="s">
        <v>37</v>
      </c>
      <c r="K58">
        <v>25</v>
      </c>
      <c r="L58" t="s">
        <v>12</v>
      </c>
      <c r="M58" t="s">
        <v>37</v>
      </c>
      <c r="N58" t="s">
        <v>1409</v>
      </c>
      <c r="O58" t="s">
        <v>37</v>
      </c>
      <c r="P58" t="s">
        <v>37</v>
      </c>
    </row>
    <row r="59" spans="1:16" x14ac:dyDescent="0.25">
      <c r="A59" t="s">
        <v>266</v>
      </c>
      <c r="B59" t="s">
        <v>31</v>
      </c>
      <c r="C59" t="str">
        <f t="shared" si="1"/>
        <v>SZP9NA_S1</v>
      </c>
      <c r="D59" t="s">
        <v>1536</v>
      </c>
      <c r="E59">
        <v>1</v>
      </c>
      <c r="F59" t="s">
        <v>1537</v>
      </c>
      <c r="G59" t="s">
        <v>1535</v>
      </c>
      <c r="H59" t="s">
        <v>1407</v>
      </c>
      <c r="I59" t="s">
        <v>42</v>
      </c>
      <c r="J59" t="s">
        <v>37</v>
      </c>
      <c r="K59">
        <v>25</v>
      </c>
      <c r="L59" t="s">
        <v>12</v>
      </c>
      <c r="M59" t="s">
        <v>37</v>
      </c>
      <c r="N59" t="s">
        <v>1409</v>
      </c>
      <c r="O59" t="s">
        <v>37</v>
      </c>
      <c r="P59" t="s">
        <v>37</v>
      </c>
    </row>
    <row r="60" spans="1:16" x14ac:dyDescent="0.25">
      <c r="A60" t="s">
        <v>266</v>
      </c>
      <c r="B60" t="s">
        <v>31</v>
      </c>
      <c r="C60" t="str">
        <f t="shared" si="1"/>
        <v>SZP10NA_S1</v>
      </c>
      <c r="D60" t="s">
        <v>1538</v>
      </c>
      <c r="E60">
        <v>1</v>
      </c>
      <c r="F60" t="s">
        <v>1539</v>
      </c>
      <c r="G60" t="s">
        <v>1535</v>
      </c>
      <c r="H60" t="s">
        <v>1407</v>
      </c>
      <c r="I60" t="s">
        <v>42</v>
      </c>
      <c r="J60" t="s">
        <v>37</v>
      </c>
      <c r="K60">
        <v>50</v>
      </c>
      <c r="L60" t="s">
        <v>12</v>
      </c>
      <c r="M60" t="s">
        <v>37</v>
      </c>
      <c r="N60" t="s">
        <v>1409</v>
      </c>
      <c r="O60" t="s">
        <v>37</v>
      </c>
      <c r="P60" t="s">
        <v>37</v>
      </c>
    </row>
    <row r="61" spans="1:16" x14ac:dyDescent="0.25">
      <c r="A61" t="s">
        <v>266</v>
      </c>
      <c r="B61" t="s">
        <v>31</v>
      </c>
      <c r="C61" t="str">
        <f t="shared" si="1"/>
        <v>SZP11NA_S1</v>
      </c>
      <c r="D61" t="s">
        <v>1540</v>
      </c>
      <c r="E61">
        <v>1</v>
      </c>
      <c r="F61" t="s">
        <v>1541</v>
      </c>
      <c r="G61" t="s">
        <v>1535</v>
      </c>
      <c r="H61" t="s">
        <v>1407</v>
      </c>
      <c r="I61" t="s">
        <v>42</v>
      </c>
      <c r="J61" t="s">
        <v>37</v>
      </c>
      <c r="K61">
        <v>30</v>
      </c>
      <c r="L61" t="s">
        <v>12</v>
      </c>
      <c r="M61" t="s">
        <v>37</v>
      </c>
      <c r="N61" t="s">
        <v>1409</v>
      </c>
      <c r="O61" t="s">
        <v>37</v>
      </c>
      <c r="P61" t="s">
        <v>37</v>
      </c>
    </row>
    <row r="62" spans="1:16" x14ac:dyDescent="0.25">
      <c r="A62" t="s">
        <v>266</v>
      </c>
      <c r="B62" t="s">
        <v>31</v>
      </c>
      <c r="C62" t="str">
        <f t="shared" si="1"/>
        <v>SZP12NA_S1</v>
      </c>
      <c r="D62" t="s">
        <v>1542</v>
      </c>
      <c r="E62">
        <v>1</v>
      </c>
      <c r="F62" t="s">
        <v>1543</v>
      </c>
      <c r="G62" t="s">
        <v>54</v>
      </c>
      <c r="H62" t="s">
        <v>1407</v>
      </c>
      <c r="I62" t="s">
        <v>42</v>
      </c>
      <c r="J62" t="s">
        <v>37</v>
      </c>
      <c r="K62">
        <v>0</v>
      </c>
      <c r="L62" t="s">
        <v>12</v>
      </c>
      <c r="M62" t="s">
        <v>37</v>
      </c>
      <c r="N62" t="s">
        <v>1409</v>
      </c>
      <c r="O62" t="s">
        <v>1544</v>
      </c>
      <c r="P62" t="s">
        <v>37</v>
      </c>
    </row>
    <row r="63" spans="1:16" x14ac:dyDescent="0.25">
      <c r="A63" t="s">
        <v>266</v>
      </c>
      <c r="B63" t="s">
        <v>31</v>
      </c>
      <c r="C63" t="str">
        <f t="shared" si="1"/>
        <v>SZP12NA_S2a</v>
      </c>
      <c r="D63" t="s">
        <v>1542</v>
      </c>
      <c r="E63" t="s">
        <v>72</v>
      </c>
      <c r="F63" t="s">
        <v>1543</v>
      </c>
      <c r="G63" t="s">
        <v>1545</v>
      </c>
      <c r="H63" t="s">
        <v>1407</v>
      </c>
      <c r="I63" t="s">
        <v>42</v>
      </c>
      <c r="J63" t="s">
        <v>37</v>
      </c>
      <c r="K63">
        <v>40</v>
      </c>
      <c r="L63" t="s">
        <v>12</v>
      </c>
      <c r="M63" t="s">
        <v>37</v>
      </c>
      <c r="N63" t="s">
        <v>1546</v>
      </c>
      <c r="O63" t="s">
        <v>1544</v>
      </c>
      <c r="P63" t="s">
        <v>1547</v>
      </c>
    </row>
    <row r="64" spans="1:16" x14ac:dyDescent="0.25">
      <c r="A64" t="s">
        <v>266</v>
      </c>
      <c r="B64" t="s">
        <v>31</v>
      </c>
      <c r="C64" t="str">
        <f t="shared" si="1"/>
        <v>SZP12NA_S2b</v>
      </c>
      <c r="D64" t="s">
        <v>1542</v>
      </c>
      <c r="E64" t="s">
        <v>75</v>
      </c>
      <c r="F64" t="s">
        <v>1543</v>
      </c>
      <c r="G64" t="s">
        <v>1548</v>
      </c>
      <c r="H64" t="s">
        <v>1407</v>
      </c>
      <c r="I64" t="s">
        <v>42</v>
      </c>
      <c r="J64" t="s">
        <v>37</v>
      </c>
      <c r="K64">
        <v>0</v>
      </c>
      <c r="L64" t="s">
        <v>12</v>
      </c>
      <c r="M64" t="s">
        <v>37</v>
      </c>
      <c r="N64" t="s">
        <v>1546</v>
      </c>
      <c r="O64" t="s">
        <v>1544</v>
      </c>
      <c r="P64" t="s">
        <v>1549</v>
      </c>
    </row>
    <row r="65" spans="1:16" x14ac:dyDescent="0.25">
      <c r="A65" t="s">
        <v>266</v>
      </c>
      <c r="B65" t="s">
        <v>31</v>
      </c>
      <c r="C65" t="str">
        <f t="shared" si="1"/>
        <v>SZP12NA_S3</v>
      </c>
      <c r="D65" t="s">
        <v>1542</v>
      </c>
      <c r="E65">
        <v>3</v>
      </c>
      <c r="F65" t="s">
        <v>1543</v>
      </c>
      <c r="G65" t="s">
        <v>49</v>
      </c>
      <c r="H65" t="s">
        <v>1407</v>
      </c>
      <c r="I65" t="s">
        <v>42</v>
      </c>
      <c r="J65" t="s">
        <v>37</v>
      </c>
      <c r="K65">
        <v>0</v>
      </c>
      <c r="L65" t="s">
        <v>12</v>
      </c>
      <c r="M65" t="s">
        <v>37</v>
      </c>
      <c r="N65" t="s">
        <v>1546</v>
      </c>
      <c r="O65" t="s">
        <v>37</v>
      </c>
      <c r="P65" t="s">
        <v>37</v>
      </c>
    </row>
    <row r="66" spans="1:16" x14ac:dyDescent="0.25">
      <c r="A66" t="s">
        <v>266</v>
      </c>
      <c r="B66" t="s">
        <v>31</v>
      </c>
      <c r="C66" t="str">
        <f t="shared" ref="C66:C97" si="2">_xlfn.CONCAT(D66,"_S",E66)</f>
        <v>SZP13_S1</v>
      </c>
      <c r="D66" t="s">
        <v>1550</v>
      </c>
      <c r="E66">
        <v>1</v>
      </c>
      <c r="F66" t="s">
        <v>1551</v>
      </c>
      <c r="G66" t="s">
        <v>54</v>
      </c>
      <c r="H66" t="s">
        <v>1407</v>
      </c>
      <c r="I66" t="s">
        <v>36</v>
      </c>
      <c r="J66">
        <v>11</v>
      </c>
      <c r="K66">
        <v>0</v>
      </c>
      <c r="L66" t="s">
        <v>5</v>
      </c>
      <c r="M66" t="s">
        <v>37</v>
      </c>
      <c r="N66" t="s">
        <v>1552</v>
      </c>
      <c r="O66" t="s">
        <v>1553</v>
      </c>
      <c r="P66" t="s">
        <v>37</v>
      </c>
    </row>
    <row r="67" spans="1:16" x14ac:dyDescent="0.25">
      <c r="A67" t="s">
        <v>266</v>
      </c>
      <c r="B67" t="s">
        <v>31</v>
      </c>
      <c r="C67" t="str">
        <f t="shared" si="2"/>
        <v>SZP13_S2</v>
      </c>
      <c r="D67" t="s">
        <v>1550</v>
      </c>
      <c r="E67">
        <v>2</v>
      </c>
      <c r="F67" t="s">
        <v>1551</v>
      </c>
      <c r="G67" t="s">
        <v>49</v>
      </c>
      <c r="H67" t="s">
        <v>1407</v>
      </c>
      <c r="I67" t="s">
        <v>36</v>
      </c>
      <c r="J67">
        <v>11</v>
      </c>
      <c r="K67">
        <v>50</v>
      </c>
      <c r="L67" t="s">
        <v>5</v>
      </c>
      <c r="M67" t="s">
        <v>37</v>
      </c>
      <c r="N67" t="s">
        <v>1552</v>
      </c>
      <c r="O67" t="s">
        <v>1553</v>
      </c>
      <c r="P67" t="s">
        <v>37</v>
      </c>
    </row>
    <row r="68" spans="1:16" x14ac:dyDescent="0.25">
      <c r="A68" t="s">
        <v>266</v>
      </c>
      <c r="B68" t="s">
        <v>31</v>
      </c>
      <c r="C68" t="str">
        <f t="shared" si="2"/>
        <v>SZP14_S1</v>
      </c>
      <c r="D68" t="s">
        <v>1554</v>
      </c>
      <c r="E68">
        <v>1</v>
      </c>
      <c r="F68" t="s">
        <v>1555</v>
      </c>
      <c r="G68" t="s">
        <v>54</v>
      </c>
      <c r="H68" t="s">
        <v>1407</v>
      </c>
      <c r="I68" t="s">
        <v>36</v>
      </c>
      <c r="J68">
        <v>12</v>
      </c>
      <c r="K68">
        <v>0</v>
      </c>
      <c r="L68" t="s">
        <v>5</v>
      </c>
      <c r="M68" t="s">
        <v>37</v>
      </c>
      <c r="N68" t="s">
        <v>1423</v>
      </c>
      <c r="O68" t="s">
        <v>1556</v>
      </c>
      <c r="P68" t="s">
        <v>37</v>
      </c>
    </row>
    <row r="69" spans="1:16" x14ac:dyDescent="0.25">
      <c r="A69" t="s">
        <v>266</v>
      </c>
      <c r="B69" t="s">
        <v>31</v>
      </c>
      <c r="C69" t="str">
        <f t="shared" si="2"/>
        <v>SZP14_S2</v>
      </c>
      <c r="D69" t="s">
        <v>1554</v>
      </c>
      <c r="E69">
        <v>2</v>
      </c>
      <c r="F69" t="s">
        <v>1555</v>
      </c>
      <c r="G69" t="s">
        <v>49</v>
      </c>
      <c r="H69" t="s">
        <v>1407</v>
      </c>
      <c r="I69" t="s">
        <v>36</v>
      </c>
      <c r="J69">
        <v>12</v>
      </c>
      <c r="K69">
        <v>20</v>
      </c>
      <c r="L69" t="s">
        <v>5</v>
      </c>
      <c r="M69" t="s">
        <v>37</v>
      </c>
      <c r="N69" t="s">
        <v>1557</v>
      </c>
      <c r="O69" t="s">
        <v>1556</v>
      </c>
      <c r="P69" t="s">
        <v>37</v>
      </c>
    </row>
    <row r="70" spans="1:16" x14ac:dyDescent="0.25">
      <c r="A70" t="s">
        <v>266</v>
      </c>
      <c r="B70" t="s">
        <v>31</v>
      </c>
      <c r="C70" t="str">
        <f t="shared" si="2"/>
        <v>SZP15_S1</v>
      </c>
      <c r="D70" t="s">
        <v>1558</v>
      </c>
      <c r="E70">
        <v>1</v>
      </c>
      <c r="F70" t="s">
        <v>1559</v>
      </c>
      <c r="G70" t="s">
        <v>54</v>
      </c>
      <c r="H70" t="s">
        <v>1407</v>
      </c>
      <c r="I70" t="s">
        <v>36</v>
      </c>
      <c r="J70">
        <v>12</v>
      </c>
      <c r="K70">
        <v>0</v>
      </c>
      <c r="L70" t="s">
        <v>5</v>
      </c>
      <c r="M70" t="s">
        <v>1560</v>
      </c>
      <c r="N70" t="s">
        <v>1409</v>
      </c>
      <c r="O70" t="s">
        <v>1561</v>
      </c>
      <c r="P70" t="s">
        <v>37</v>
      </c>
    </row>
    <row r="71" spans="1:16" x14ac:dyDescent="0.25">
      <c r="A71" t="s">
        <v>266</v>
      </c>
      <c r="B71" t="s">
        <v>31</v>
      </c>
      <c r="C71" t="str">
        <f t="shared" si="2"/>
        <v>SZP15_S2a</v>
      </c>
      <c r="D71" t="s">
        <v>1558</v>
      </c>
      <c r="E71" t="s">
        <v>72</v>
      </c>
      <c r="F71" t="s">
        <v>1559</v>
      </c>
      <c r="G71" t="s">
        <v>1562</v>
      </c>
      <c r="H71" t="s">
        <v>1407</v>
      </c>
      <c r="I71" t="s">
        <v>36</v>
      </c>
      <c r="J71">
        <v>12</v>
      </c>
      <c r="K71">
        <v>40</v>
      </c>
      <c r="L71" t="s">
        <v>5</v>
      </c>
      <c r="M71" t="s">
        <v>1560</v>
      </c>
      <c r="N71" t="s">
        <v>1563</v>
      </c>
      <c r="O71" t="s">
        <v>1561</v>
      </c>
      <c r="P71" t="s">
        <v>1564</v>
      </c>
    </row>
    <row r="72" spans="1:16" x14ac:dyDescent="0.25">
      <c r="A72" t="s">
        <v>266</v>
      </c>
      <c r="B72" t="s">
        <v>31</v>
      </c>
      <c r="C72" t="str">
        <f t="shared" si="2"/>
        <v>SZP15_S2b</v>
      </c>
      <c r="D72" t="s">
        <v>1558</v>
      </c>
      <c r="E72" t="s">
        <v>75</v>
      </c>
      <c r="F72" t="s">
        <v>1559</v>
      </c>
      <c r="G72" t="s">
        <v>1565</v>
      </c>
      <c r="H72" t="s">
        <v>1407</v>
      </c>
      <c r="I72" t="s">
        <v>36</v>
      </c>
      <c r="J72">
        <v>12</v>
      </c>
      <c r="K72">
        <v>50</v>
      </c>
      <c r="L72" t="s">
        <v>5</v>
      </c>
      <c r="M72" t="s">
        <v>1560</v>
      </c>
      <c r="N72" t="s">
        <v>1563</v>
      </c>
      <c r="O72" t="s">
        <v>1561</v>
      </c>
      <c r="P72" t="s">
        <v>1566</v>
      </c>
    </row>
    <row r="73" spans="1:16" x14ac:dyDescent="0.25">
      <c r="A73" t="s">
        <v>266</v>
      </c>
      <c r="B73" t="s">
        <v>31</v>
      </c>
      <c r="C73" t="str">
        <f t="shared" si="2"/>
        <v>SZP15_S3</v>
      </c>
      <c r="D73" t="s">
        <v>1558</v>
      </c>
      <c r="E73">
        <v>3</v>
      </c>
      <c r="F73" t="s">
        <v>1559</v>
      </c>
      <c r="G73" t="s">
        <v>49</v>
      </c>
      <c r="H73" t="s">
        <v>1407</v>
      </c>
      <c r="I73" t="s">
        <v>36</v>
      </c>
      <c r="J73">
        <v>12</v>
      </c>
      <c r="K73">
        <v>50</v>
      </c>
      <c r="L73" t="s">
        <v>5</v>
      </c>
      <c r="M73" t="s">
        <v>1560</v>
      </c>
      <c r="N73" t="s">
        <v>1567</v>
      </c>
      <c r="O73" t="s">
        <v>37</v>
      </c>
      <c r="P73" t="s">
        <v>37</v>
      </c>
    </row>
    <row r="74" spans="1:16" x14ac:dyDescent="0.25">
      <c r="A74" t="s">
        <v>266</v>
      </c>
      <c r="B74" t="s">
        <v>31</v>
      </c>
      <c r="C74" t="str">
        <f t="shared" si="2"/>
        <v>SZP16_S1</v>
      </c>
      <c r="D74" t="s">
        <v>1568</v>
      </c>
      <c r="E74">
        <v>1</v>
      </c>
      <c r="F74" t="s">
        <v>1569</v>
      </c>
      <c r="G74" t="s">
        <v>54</v>
      </c>
      <c r="H74" t="s">
        <v>1407</v>
      </c>
      <c r="I74" t="s">
        <v>36</v>
      </c>
      <c r="J74">
        <v>13</v>
      </c>
      <c r="K74">
        <v>0</v>
      </c>
      <c r="L74" t="s">
        <v>5</v>
      </c>
      <c r="M74" t="s">
        <v>37</v>
      </c>
      <c r="N74" t="s">
        <v>1409</v>
      </c>
      <c r="O74" t="s">
        <v>1570</v>
      </c>
      <c r="P74" t="s">
        <v>37</v>
      </c>
    </row>
    <row r="75" spans="1:16" x14ac:dyDescent="0.25">
      <c r="A75" t="s">
        <v>266</v>
      </c>
      <c r="B75" t="s">
        <v>31</v>
      </c>
      <c r="C75" t="str">
        <f t="shared" si="2"/>
        <v>SZP16_S2</v>
      </c>
      <c r="D75" t="s">
        <v>1568</v>
      </c>
      <c r="E75">
        <v>2</v>
      </c>
      <c r="F75" t="s">
        <v>1569</v>
      </c>
      <c r="G75" t="s">
        <v>1571</v>
      </c>
      <c r="H75" t="s">
        <v>1407</v>
      </c>
      <c r="I75" t="s">
        <v>36</v>
      </c>
      <c r="J75">
        <v>13</v>
      </c>
      <c r="K75">
        <v>25</v>
      </c>
      <c r="L75" t="s">
        <v>5</v>
      </c>
      <c r="M75" t="s">
        <v>37</v>
      </c>
      <c r="N75" t="s">
        <v>1572</v>
      </c>
      <c r="O75" t="s">
        <v>1570</v>
      </c>
      <c r="P75" t="s">
        <v>37</v>
      </c>
    </row>
    <row r="76" spans="1:16" x14ac:dyDescent="0.25">
      <c r="A76" t="s">
        <v>266</v>
      </c>
      <c r="B76" t="s">
        <v>31</v>
      </c>
      <c r="C76" t="str">
        <f t="shared" si="2"/>
        <v>SZP16_S3</v>
      </c>
      <c r="D76" t="s">
        <v>1568</v>
      </c>
      <c r="E76">
        <v>3</v>
      </c>
      <c r="F76" t="s">
        <v>1569</v>
      </c>
      <c r="G76" t="s">
        <v>49</v>
      </c>
      <c r="H76" t="s">
        <v>1407</v>
      </c>
      <c r="I76" t="s">
        <v>36</v>
      </c>
      <c r="J76">
        <v>13</v>
      </c>
      <c r="K76">
        <v>50</v>
      </c>
      <c r="L76" t="s">
        <v>5</v>
      </c>
      <c r="M76" t="s">
        <v>37</v>
      </c>
      <c r="N76" t="s">
        <v>1573</v>
      </c>
      <c r="O76" t="s">
        <v>37</v>
      </c>
      <c r="P76" t="s">
        <v>37</v>
      </c>
    </row>
    <row r="77" spans="1:16" x14ac:dyDescent="0.25">
      <c r="A77" t="s">
        <v>266</v>
      </c>
      <c r="B77" t="s">
        <v>31</v>
      </c>
      <c r="C77" t="str">
        <f t="shared" si="2"/>
        <v>SZP17_S1</v>
      </c>
      <c r="D77" t="s">
        <v>1574</v>
      </c>
      <c r="E77">
        <v>1</v>
      </c>
      <c r="F77" t="s">
        <v>1575</v>
      </c>
      <c r="G77" t="s">
        <v>54</v>
      </c>
      <c r="H77" t="s">
        <v>1407</v>
      </c>
      <c r="I77" t="s">
        <v>36</v>
      </c>
      <c r="J77">
        <v>13</v>
      </c>
      <c r="K77">
        <v>0</v>
      </c>
      <c r="L77" t="s">
        <v>5</v>
      </c>
      <c r="M77" t="s">
        <v>37</v>
      </c>
      <c r="N77" t="s">
        <v>1409</v>
      </c>
      <c r="O77" t="s">
        <v>1576</v>
      </c>
      <c r="P77" t="s">
        <v>37</v>
      </c>
    </row>
    <row r="78" spans="1:16" x14ac:dyDescent="0.25">
      <c r="A78" t="s">
        <v>266</v>
      </c>
      <c r="B78" t="s">
        <v>31</v>
      </c>
      <c r="C78" t="str">
        <f t="shared" si="2"/>
        <v>SZP17_S2</v>
      </c>
      <c r="D78" t="s">
        <v>1574</v>
      </c>
      <c r="E78">
        <v>2</v>
      </c>
      <c r="F78" t="s">
        <v>1575</v>
      </c>
      <c r="G78" t="s">
        <v>49</v>
      </c>
      <c r="H78" t="s">
        <v>1407</v>
      </c>
      <c r="I78" t="s">
        <v>36</v>
      </c>
      <c r="J78">
        <v>13</v>
      </c>
      <c r="K78">
        <v>50</v>
      </c>
      <c r="L78" t="s">
        <v>5</v>
      </c>
      <c r="M78" t="s">
        <v>37</v>
      </c>
      <c r="N78" t="s">
        <v>1577</v>
      </c>
      <c r="O78" t="s">
        <v>1576</v>
      </c>
      <c r="P78" t="s">
        <v>37</v>
      </c>
    </row>
    <row r="79" spans="1:16" x14ac:dyDescent="0.25">
      <c r="A79" t="s">
        <v>266</v>
      </c>
      <c r="B79" t="s">
        <v>31</v>
      </c>
      <c r="C79" t="str">
        <f t="shared" si="2"/>
        <v>SZP18_S1</v>
      </c>
      <c r="D79" t="s">
        <v>1578</v>
      </c>
      <c r="E79">
        <v>1</v>
      </c>
      <c r="F79" t="s">
        <v>1579</v>
      </c>
      <c r="G79" t="s">
        <v>54</v>
      </c>
      <c r="H79" t="s">
        <v>1407</v>
      </c>
      <c r="I79" t="s">
        <v>36</v>
      </c>
      <c r="J79">
        <v>14</v>
      </c>
      <c r="K79">
        <v>0</v>
      </c>
      <c r="L79" t="s">
        <v>5</v>
      </c>
      <c r="M79" t="s">
        <v>37</v>
      </c>
      <c r="N79" t="s">
        <v>1409</v>
      </c>
      <c r="O79" t="s">
        <v>1580</v>
      </c>
      <c r="P79" t="s">
        <v>37</v>
      </c>
    </row>
    <row r="80" spans="1:16" x14ac:dyDescent="0.25">
      <c r="A80" t="s">
        <v>266</v>
      </c>
      <c r="B80" t="s">
        <v>31</v>
      </c>
      <c r="C80" t="str">
        <f t="shared" si="2"/>
        <v>SZP18_S2</v>
      </c>
      <c r="D80" t="s">
        <v>1578</v>
      </c>
      <c r="E80">
        <v>2</v>
      </c>
      <c r="F80" t="s">
        <v>1579</v>
      </c>
      <c r="G80" t="s">
        <v>49</v>
      </c>
      <c r="H80" t="s">
        <v>1407</v>
      </c>
      <c r="I80" t="s">
        <v>36</v>
      </c>
      <c r="J80">
        <v>14</v>
      </c>
      <c r="K80">
        <v>75</v>
      </c>
      <c r="L80" t="s">
        <v>5</v>
      </c>
      <c r="M80" t="s">
        <v>37</v>
      </c>
      <c r="N80" t="s">
        <v>1581</v>
      </c>
      <c r="O80" t="s">
        <v>1580</v>
      </c>
      <c r="P80" t="s">
        <v>37</v>
      </c>
    </row>
    <row r="81" spans="1:16" x14ac:dyDescent="0.25">
      <c r="A81" t="s">
        <v>266</v>
      </c>
      <c r="B81" t="s">
        <v>31</v>
      </c>
      <c r="C81" t="str">
        <f t="shared" si="2"/>
        <v>SZP19_S1</v>
      </c>
      <c r="D81" t="s">
        <v>1582</v>
      </c>
      <c r="E81">
        <v>1</v>
      </c>
      <c r="F81" t="s">
        <v>1583</v>
      </c>
      <c r="G81" t="s">
        <v>54</v>
      </c>
      <c r="H81" t="s">
        <v>1407</v>
      </c>
      <c r="I81" t="s">
        <v>36</v>
      </c>
      <c r="J81">
        <v>14</v>
      </c>
      <c r="K81">
        <v>0</v>
      </c>
      <c r="L81" t="s">
        <v>5</v>
      </c>
      <c r="M81" t="s">
        <v>37</v>
      </c>
      <c r="N81" t="s">
        <v>1584</v>
      </c>
      <c r="O81" t="s">
        <v>1585</v>
      </c>
      <c r="P81" t="s">
        <v>37</v>
      </c>
    </row>
    <row r="82" spans="1:16" x14ac:dyDescent="0.25">
      <c r="A82" t="s">
        <v>266</v>
      </c>
      <c r="B82" t="s">
        <v>31</v>
      </c>
      <c r="C82" t="str">
        <f t="shared" si="2"/>
        <v>SZP19_S2</v>
      </c>
      <c r="D82" t="s">
        <v>1582</v>
      </c>
      <c r="E82">
        <v>2</v>
      </c>
      <c r="F82" t="s">
        <v>1583</v>
      </c>
      <c r="G82" t="s">
        <v>1586</v>
      </c>
      <c r="H82" t="s">
        <v>1407</v>
      </c>
      <c r="I82" t="s">
        <v>36</v>
      </c>
      <c r="J82">
        <v>14</v>
      </c>
      <c r="K82">
        <v>25</v>
      </c>
      <c r="L82" t="s">
        <v>5</v>
      </c>
      <c r="M82" t="s">
        <v>37</v>
      </c>
      <c r="N82" t="s">
        <v>1587</v>
      </c>
      <c r="O82" t="s">
        <v>1585</v>
      </c>
      <c r="P82" t="s">
        <v>37</v>
      </c>
    </row>
    <row r="83" spans="1:16" x14ac:dyDescent="0.25">
      <c r="A83" t="s">
        <v>266</v>
      </c>
      <c r="B83" t="s">
        <v>31</v>
      </c>
      <c r="C83" t="str">
        <f t="shared" si="2"/>
        <v>SZP19_S3</v>
      </c>
      <c r="D83" t="s">
        <v>1582</v>
      </c>
      <c r="E83">
        <v>3</v>
      </c>
      <c r="F83" t="s">
        <v>1583</v>
      </c>
      <c r="G83" t="s">
        <v>1588</v>
      </c>
      <c r="H83" t="s">
        <v>1407</v>
      </c>
      <c r="I83" t="s">
        <v>36</v>
      </c>
      <c r="J83">
        <v>14</v>
      </c>
      <c r="K83">
        <v>50</v>
      </c>
      <c r="L83" t="s">
        <v>5</v>
      </c>
      <c r="M83" t="s">
        <v>37</v>
      </c>
      <c r="N83" t="s">
        <v>1589</v>
      </c>
      <c r="O83" t="s">
        <v>1585</v>
      </c>
      <c r="P83" t="s">
        <v>37</v>
      </c>
    </row>
    <row r="84" spans="1:16" x14ac:dyDescent="0.25">
      <c r="A84" t="s">
        <v>266</v>
      </c>
      <c r="B84" t="s">
        <v>31</v>
      </c>
      <c r="C84" t="str">
        <f t="shared" si="2"/>
        <v>SZP19_S4</v>
      </c>
      <c r="D84" t="s">
        <v>1582</v>
      </c>
      <c r="E84">
        <v>4</v>
      </c>
      <c r="F84" t="s">
        <v>1583</v>
      </c>
      <c r="G84" t="s">
        <v>1590</v>
      </c>
      <c r="H84" t="s">
        <v>1407</v>
      </c>
      <c r="I84" t="s">
        <v>36</v>
      </c>
      <c r="J84">
        <v>14</v>
      </c>
      <c r="K84">
        <v>50</v>
      </c>
      <c r="L84" t="s">
        <v>5</v>
      </c>
      <c r="M84" t="s">
        <v>37</v>
      </c>
      <c r="N84" t="s">
        <v>1591</v>
      </c>
      <c r="O84" t="s">
        <v>1585</v>
      </c>
      <c r="P84" t="s">
        <v>37</v>
      </c>
    </row>
    <row r="85" spans="1:16" x14ac:dyDescent="0.25">
      <c r="A85" t="s">
        <v>266</v>
      </c>
      <c r="B85" t="s">
        <v>31</v>
      </c>
      <c r="C85" t="str">
        <f t="shared" si="2"/>
        <v>SZP19_S5</v>
      </c>
      <c r="D85" t="s">
        <v>1582</v>
      </c>
      <c r="E85">
        <v>5</v>
      </c>
      <c r="F85" t="s">
        <v>1583</v>
      </c>
      <c r="G85" t="s">
        <v>1592</v>
      </c>
      <c r="H85" t="s">
        <v>1407</v>
      </c>
      <c r="I85" t="s">
        <v>36</v>
      </c>
      <c r="J85">
        <v>14</v>
      </c>
      <c r="K85">
        <v>50</v>
      </c>
      <c r="L85" t="s">
        <v>5</v>
      </c>
      <c r="M85" t="s">
        <v>37</v>
      </c>
      <c r="N85" t="s">
        <v>1593</v>
      </c>
      <c r="O85" t="s">
        <v>1585</v>
      </c>
      <c r="P85" t="s">
        <v>37</v>
      </c>
    </row>
    <row r="86" spans="1:16" x14ac:dyDescent="0.25">
      <c r="A86" t="s">
        <v>266</v>
      </c>
      <c r="B86" t="s">
        <v>31</v>
      </c>
      <c r="C86" t="str">
        <f t="shared" si="2"/>
        <v>SZP19_S6</v>
      </c>
      <c r="D86" t="s">
        <v>1582</v>
      </c>
      <c r="E86">
        <v>6</v>
      </c>
      <c r="F86" t="s">
        <v>1583</v>
      </c>
      <c r="G86" t="s">
        <v>1594</v>
      </c>
      <c r="H86" t="s">
        <v>1407</v>
      </c>
      <c r="I86" t="s">
        <v>36</v>
      </c>
      <c r="J86">
        <v>14</v>
      </c>
      <c r="K86">
        <v>80</v>
      </c>
      <c r="L86" t="s">
        <v>5</v>
      </c>
      <c r="M86" t="s">
        <v>37</v>
      </c>
      <c r="N86" t="s">
        <v>1595</v>
      </c>
      <c r="O86" t="s">
        <v>1585</v>
      </c>
      <c r="P86" t="s">
        <v>37</v>
      </c>
    </row>
    <row r="87" spans="1:16" x14ac:dyDescent="0.25">
      <c r="A87" t="s">
        <v>266</v>
      </c>
      <c r="B87" t="s">
        <v>31</v>
      </c>
      <c r="C87" t="str">
        <f t="shared" si="2"/>
        <v>SZP19_S7</v>
      </c>
      <c r="D87" t="s">
        <v>1582</v>
      </c>
      <c r="E87">
        <v>7</v>
      </c>
      <c r="F87" t="s">
        <v>1583</v>
      </c>
      <c r="G87" t="s">
        <v>49</v>
      </c>
      <c r="H87" t="s">
        <v>1407</v>
      </c>
      <c r="I87" t="s">
        <v>36</v>
      </c>
      <c r="J87">
        <v>14</v>
      </c>
      <c r="K87">
        <v>50</v>
      </c>
      <c r="L87" t="s">
        <v>5</v>
      </c>
      <c r="M87" t="s">
        <v>37</v>
      </c>
      <c r="N87" t="s">
        <v>1596</v>
      </c>
      <c r="O87" t="s">
        <v>1585</v>
      </c>
      <c r="P87" t="s">
        <v>37</v>
      </c>
    </row>
    <row r="88" spans="1:16" x14ac:dyDescent="0.25">
      <c r="A88" t="s">
        <v>266</v>
      </c>
      <c r="B88" t="s">
        <v>31</v>
      </c>
      <c r="C88" t="str">
        <f t="shared" si="2"/>
        <v>SZP20_S1</v>
      </c>
      <c r="D88" t="s">
        <v>1597</v>
      </c>
      <c r="E88">
        <v>1</v>
      </c>
      <c r="F88" t="s">
        <v>1598</v>
      </c>
      <c r="G88" t="s">
        <v>54</v>
      </c>
      <c r="H88" t="s">
        <v>1407</v>
      </c>
      <c r="I88" t="s">
        <v>36</v>
      </c>
      <c r="J88">
        <v>14</v>
      </c>
      <c r="K88">
        <v>0</v>
      </c>
      <c r="L88" t="s">
        <v>5</v>
      </c>
      <c r="M88" t="s">
        <v>37</v>
      </c>
      <c r="N88" t="s">
        <v>1409</v>
      </c>
      <c r="O88" t="s">
        <v>1599</v>
      </c>
      <c r="P88" t="s">
        <v>37</v>
      </c>
    </row>
    <row r="89" spans="1:16" x14ac:dyDescent="0.25">
      <c r="A89" t="s">
        <v>266</v>
      </c>
      <c r="B89" t="s">
        <v>31</v>
      </c>
      <c r="C89" t="str">
        <f t="shared" si="2"/>
        <v>SZP20_S2</v>
      </c>
      <c r="D89" t="s">
        <v>1597</v>
      </c>
      <c r="E89">
        <v>2</v>
      </c>
      <c r="F89" t="s">
        <v>1598</v>
      </c>
      <c r="G89" t="s">
        <v>1600</v>
      </c>
      <c r="H89" t="s">
        <v>1407</v>
      </c>
      <c r="I89" t="s">
        <v>36</v>
      </c>
      <c r="J89">
        <v>14</v>
      </c>
      <c r="K89">
        <v>25</v>
      </c>
      <c r="L89" t="s">
        <v>5</v>
      </c>
      <c r="M89" t="s">
        <v>37</v>
      </c>
      <c r="N89" t="s">
        <v>1601</v>
      </c>
      <c r="O89" t="s">
        <v>1599</v>
      </c>
      <c r="P89" t="s">
        <v>37</v>
      </c>
    </row>
    <row r="90" spans="1:16" x14ac:dyDescent="0.25">
      <c r="A90" t="s">
        <v>266</v>
      </c>
      <c r="B90" t="s">
        <v>31</v>
      </c>
      <c r="C90" t="str">
        <f t="shared" si="2"/>
        <v>SZP20_S3</v>
      </c>
      <c r="D90" t="s">
        <v>1597</v>
      </c>
      <c r="E90">
        <v>3</v>
      </c>
      <c r="F90" t="s">
        <v>1598</v>
      </c>
      <c r="G90" t="s">
        <v>1602</v>
      </c>
      <c r="H90" t="s">
        <v>1407</v>
      </c>
      <c r="I90" t="s">
        <v>36</v>
      </c>
      <c r="J90">
        <v>14</v>
      </c>
      <c r="K90">
        <v>10</v>
      </c>
      <c r="L90" t="s">
        <v>5</v>
      </c>
      <c r="M90" t="s">
        <v>37</v>
      </c>
      <c r="N90" t="s">
        <v>1603</v>
      </c>
      <c r="O90" t="s">
        <v>37</v>
      </c>
      <c r="P90" t="s">
        <v>37</v>
      </c>
    </row>
    <row r="91" spans="1:16" x14ac:dyDescent="0.25">
      <c r="A91" t="s">
        <v>266</v>
      </c>
      <c r="B91" t="s">
        <v>31</v>
      </c>
      <c r="C91" t="str">
        <f t="shared" si="2"/>
        <v>SZP20_S4</v>
      </c>
      <c r="D91" t="s">
        <v>1597</v>
      </c>
      <c r="E91">
        <v>4</v>
      </c>
      <c r="F91" t="s">
        <v>1598</v>
      </c>
      <c r="G91" t="s">
        <v>1604</v>
      </c>
      <c r="H91" t="s">
        <v>1407</v>
      </c>
      <c r="I91" t="s">
        <v>36</v>
      </c>
      <c r="J91">
        <v>14</v>
      </c>
      <c r="K91">
        <v>25</v>
      </c>
      <c r="L91" t="s">
        <v>5</v>
      </c>
      <c r="M91" t="s">
        <v>37</v>
      </c>
      <c r="N91" t="s">
        <v>1605</v>
      </c>
      <c r="O91" t="s">
        <v>37</v>
      </c>
      <c r="P91" t="s">
        <v>37</v>
      </c>
    </row>
    <row r="92" spans="1:16" x14ac:dyDescent="0.25">
      <c r="A92" t="s">
        <v>266</v>
      </c>
      <c r="B92" t="s">
        <v>31</v>
      </c>
      <c r="C92" t="str">
        <f t="shared" si="2"/>
        <v>SZP21_S1</v>
      </c>
      <c r="D92" t="s">
        <v>1606</v>
      </c>
      <c r="E92">
        <v>1</v>
      </c>
      <c r="F92" t="s">
        <v>1607</v>
      </c>
      <c r="G92" t="s">
        <v>54</v>
      </c>
      <c r="H92" t="s">
        <v>1407</v>
      </c>
      <c r="I92" t="s">
        <v>36</v>
      </c>
      <c r="J92">
        <v>14</v>
      </c>
      <c r="K92">
        <v>0</v>
      </c>
      <c r="L92" t="s">
        <v>5</v>
      </c>
      <c r="M92" t="s">
        <v>37</v>
      </c>
      <c r="N92" t="s">
        <v>1409</v>
      </c>
      <c r="O92" t="s">
        <v>1608</v>
      </c>
      <c r="P92" t="s">
        <v>37</v>
      </c>
    </row>
    <row r="93" spans="1:16" x14ac:dyDescent="0.25">
      <c r="A93" t="s">
        <v>266</v>
      </c>
      <c r="B93" t="s">
        <v>31</v>
      </c>
      <c r="C93" t="str">
        <f t="shared" si="2"/>
        <v>SZP21_S2a</v>
      </c>
      <c r="D93" t="s">
        <v>1606</v>
      </c>
      <c r="E93" t="s">
        <v>72</v>
      </c>
      <c r="F93" t="s">
        <v>1607</v>
      </c>
      <c r="G93" t="s">
        <v>1609</v>
      </c>
      <c r="H93" t="s">
        <v>1407</v>
      </c>
      <c r="I93" t="s">
        <v>36</v>
      </c>
      <c r="J93">
        <v>14</v>
      </c>
      <c r="K93">
        <v>75</v>
      </c>
      <c r="L93" t="s">
        <v>5</v>
      </c>
      <c r="M93" t="s">
        <v>37</v>
      </c>
      <c r="N93" t="s">
        <v>1610</v>
      </c>
      <c r="O93" t="s">
        <v>1608</v>
      </c>
      <c r="P93" t="s">
        <v>1611</v>
      </c>
    </row>
    <row r="94" spans="1:16" x14ac:dyDescent="0.25">
      <c r="A94" t="s">
        <v>266</v>
      </c>
      <c r="B94" t="s">
        <v>31</v>
      </c>
      <c r="C94" t="str">
        <f t="shared" si="2"/>
        <v>SZP21_S2b</v>
      </c>
      <c r="D94" t="s">
        <v>1606</v>
      </c>
      <c r="E94" t="s">
        <v>75</v>
      </c>
      <c r="F94" t="s">
        <v>1607</v>
      </c>
      <c r="G94" t="s">
        <v>1612</v>
      </c>
      <c r="H94" t="s">
        <v>1407</v>
      </c>
      <c r="I94" t="s">
        <v>36</v>
      </c>
      <c r="J94">
        <v>14</v>
      </c>
      <c r="K94">
        <v>25</v>
      </c>
      <c r="L94" t="s">
        <v>5</v>
      </c>
      <c r="M94" t="s">
        <v>37</v>
      </c>
      <c r="N94" t="s">
        <v>1610</v>
      </c>
      <c r="O94" t="s">
        <v>1608</v>
      </c>
      <c r="P94" t="s">
        <v>1613</v>
      </c>
    </row>
    <row r="95" spans="1:16" x14ac:dyDescent="0.25">
      <c r="A95" t="s">
        <v>266</v>
      </c>
      <c r="B95" t="s">
        <v>31</v>
      </c>
      <c r="C95" t="str">
        <f t="shared" si="2"/>
        <v>SZP22_S1</v>
      </c>
      <c r="D95" t="s">
        <v>1614</v>
      </c>
      <c r="E95">
        <v>1</v>
      </c>
      <c r="F95" t="s">
        <v>1615</v>
      </c>
      <c r="G95" t="s">
        <v>54</v>
      </c>
      <c r="H95" t="s">
        <v>1407</v>
      </c>
      <c r="I95" t="s">
        <v>36</v>
      </c>
      <c r="J95">
        <v>14</v>
      </c>
      <c r="K95">
        <v>0</v>
      </c>
      <c r="L95" t="s">
        <v>5</v>
      </c>
      <c r="M95" t="s">
        <v>1616</v>
      </c>
      <c r="N95" t="s">
        <v>1584</v>
      </c>
      <c r="O95" t="s">
        <v>1617</v>
      </c>
      <c r="P95" t="s">
        <v>37</v>
      </c>
    </row>
    <row r="96" spans="1:16" x14ac:dyDescent="0.25">
      <c r="A96" t="s">
        <v>266</v>
      </c>
      <c r="B96" t="s">
        <v>31</v>
      </c>
      <c r="C96" t="str">
        <f t="shared" si="2"/>
        <v>SZP22_S2a</v>
      </c>
      <c r="D96" t="s">
        <v>1614</v>
      </c>
      <c r="E96" t="s">
        <v>72</v>
      </c>
      <c r="F96" t="s">
        <v>1615</v>
      </c>
      <c r="G96" t="s">
        <v>1618</v>
      </c>
      <c r="H96" t="s">
        <v>1407</v>
      </c>
      <c r="I96" t="s">
        <v>36</v>
      </c>
      <c r="J96">
        <v>14</v>
      </c>
      <c r="K96">
        <v>40</v>
      </c>
      <c r="L96" t="s">
        <v>5</v>
      </c>
      <c r="M96" t="s">
        <v>1616</v>
      </c>
      <c r="N96" t="s">
        <v>1619</v>
      </c>
      <c r="O96" t="s">
        <v>1617</v>
      </c>
      <c r="P96" t="s">
        <v>1620</v>
      </c>
    </row>
    <row r="97" spans="1:16" x14ac:dyDescent="0.25">
      <c r="A97" t="s">
        <v>266</v>
      </c>
      <c r="B97" t="s">
        <v>31</v>
      </c>
      <c r="C97" t="str">
        <f t="shared" si="2"/>
        <v>SZP22_S2b</v>
      </c>
      <c r="D97" t="s">
        <v>1614</v>
      </c>
      <c r="E97" t="s">
        <v>75</v>
      </c>
      <c r="F97" t="s">
        <v>1615</v>
      </c>
      <c r="G97" t="s">
        <v>1621</v>
      </c>
      <c r="H97" t="s">
        <v>1407</v>
      </c>
      <c r="I97" t="s">
        <v>36</v>
      </c>
      <c r="J97">
        <v>14</v>
      </c>
      <c r="K97">
        <v>40</v>
      </c>
      <c r="L97" t="s">
        <v>5</v>
      </c>
      <c r="M97" t="s">
        <v>1616</v>
      </c>
      <c r="N97" t="s">
        <v>1619</v>
      </c>
      <c r="O97" t="s">
        <v>1617</v>
      </c>
      <c r="P97" t="s">
        <v>1622</v>
      </c>
    </row>
    <row r="98" spans="1:16" x14ac:dyDescent="0.25">
      <c r="A98" t="s">
        <v>266</v>
      </c>
      <c r="B98" t="s">
        <v>31</v>
      </c>
      <c r="C98" t="str">
        <f t="shared" ref="C98:C129" si="3">_xlfn.CONCAT(D98,"_S",E98)</f>
        <v>SZP22_S3</v>
      </c>
      <c r="D98" t="s">
        <v>1614</v>
      </c>
      <c r="E98">
        <v>3</v>
      </c>
      <c r="F98" t="s">
        <v>1615</v>
      </c>
      <c r="G98" t="s">
        <v>49</v>
      </c>
      <c r="H98" t="s">
        <v>1407</v>
      </c>
      <c r="I98" t="s">
        <v>36</v>
      </c>
      <c r="J98">
        <v>14</v>
      </c>
      <c r="K98">
        <v>130</v>
      </c>
      <c r="L98" t="s">
        <v>5</v>
      </c>
      <c r="M98" t="s">
        <v>1616</v>
      </c>
      <c r="N98" t="s">
        <v>1623</v>
      </c>
      <c r="O98" t="s">
        <v>37</v>
      </c>
      <c r="P98" t="s">
        <v>37</v>
      </c>
    </row>
    <row r="99" spans="1:16" x14ac:dyDescent="0.25">
      <c r="A99" t="s">
        <v>266</v>
      </c>
      <c r="B99" t="s">
        <v>31</v>
      </c>
      <c r="C99" t="str">
        <f t="shared" si="3"/>
        <v>SZP23_S1</v>
      </c>
      <c r="D99" t="s">
        <v>1624</v>
      </c>
      <c r="E99">
        <v>1</v>
      </c>
      <c r="F99" t="s">
        <v>1625</v>
      </c>
      <c r="G99" t="s">
        <v>54</v>
      </c>
      <c r="H99" t="s">
        <v>1407</v>
      </c>
      <c r="I99" t="s">
        <v>36</v>
      </c>
      <c r="J99">
        <v>15</v>
      </c>
      <c r="K99">
        <v>0</v>
      </c>
      <c r="L99" t="s">
        <v>5</v>
      </c>
      <c r="M99" t="s">
        <v>37</v>
      </c>
      <c r="N99" t="s">
        <v>1409</v>
      </c>
      <c r="O99" t="s">
        <v>1626</v>
      </c>
      <c r="P99" t="s">
        <v>37</v>
      </c>
    </row>
    <row r="100" spans="1:16" x14ac:dyDescent="0.25">
      <c r="A100" t="s">
        <v>266</v>
      </c>
      <c r="B100" t="s">
        <v>31</v>
      </c>
      <c r="C100" t="str">
        <f t="shared" si="3"/>
        <v>SZP23_S2</v>
      </c>
      <c r="D100" t="s">
        <v>1624</v>
      </c>
      <c r="E100">
        <v>2</v>
      </c>
      <c r="F100" t="s">
        <v>1625</v>
      </c>
      <c r="G100" t="s">
        <v>49</v>
      </c>
      <c r="H100" t="s">
        <v>1407</v>
      </c>
      <c r="I100" t="s">
        <v>36</v>
      </c>
      <c r="J100">
        <v>15</v>
      </c>
      <c r="K100">
        <v>50</v>
      </c>
      <c r="L100" t="s">
        <v>5</v>
      </c>
      <c r="M100" t="s">
        <v>37</v>
      </c>
      <c r="N100" t="s">
        <v>1627</v>
      </c>
      <c r="O100" t="s">
        <v>1626</v>
      </c>
      <c r="P100" t="s">
        <v>37</v>
      </c>
    </row>
    <row r="101" spans="1:16" x14ac:dyDescent="0.25">
      <c r="A101" t="s">
        <v>266</v>
      </c>
      <c r="B101" t="s">
        <v>31</v>
      </c>
      <c r="C101" t="str">
        <f t="shared" si="3"/>
        <v>SZP24_S1</v>
      </c>
      <c r="D101" t="s">
        <v>1628</v>
      </c>
      <c r="E101">
        <v>1</v>
      </c>
      <c r="F101" t="s">
        <v>1629</v>
      </c>
      <c r="G101" t="s">
        <v>54</v>
      </c>
      <c r="H101" t="s">
        <v>1407</v>
      </c>
      <c r="I101" t="s">
        <v>36</v>
      </c>
      <c r="J101">
        <v>15</v>
      </c>
      <c r="K101">
        <v>0</v>
      </c>
      <c r="L101" t="s">
        <v>5</v>
      </c>
      <c r="M101" t="s">
        <v>37</v>
      </c>
      <c r="N101" t="s">
        <v>1409</v>
      </c>
      <c r="O101" t="s">
        <v>1630</v>
      </c>
      <c r="P101" t="s">
        <v>37</v>
      </c>
    </row>
    <row r="102" spans="1:16" x14ac:dyDescent="0.25">
      <c r="A102" t="s">
        <v>266</v>
      </c>
      <c r="B102" t="s">
        <v>31</v>
      </c>
      <c r="C102" t="str">
        <f t="shared" si="3"/>
        <v>SZP24_S2</v>
      </c>
      <c r="D102" t="s">
        <v>1628</v>
      </c>
      <c r="E102">
        <v>2</v>
      </c>
      <c r="F102" t="s">
        <v>1629</v>
      </c>
      <c r="G102" t="s">
        <v>49</v>
      </c>
      <c r="H102" t="s">
        <v>1407</v>
      </c>
      <c r="I102" t="s">
        <v>36</v>
      </c>
      <c r="J102">
        <v>15</v>
      </c>
      <c r="K102">
        <v>75</v>
      </c>
      <c r="L102" t="s">
        <v>5</v>
      </c>
      <c r="M102" t="s">
        <v>37</v>
      </c>
      <c r="N102" t="s">
        <v>1631</v>
      </c>
      <c r="O102" t="s">
        <v>1630</v>
      </c>
      <c r="P102" t="s">
        <v>37</v>
      </c>
    </row>
    <row r="103" spans="1:16" x14ac:dyDescent="0.25">
      <c r="A103" t="s">
        <v>266</v>
      </c>
      <c r="B103" t="s">
        <v>31</v>
      </c>
      <c r="C103" t="str">
        <f t="shared" si="3"/>
        <v>SZP25_S1</v>
      </c>
      <c r="D103" t="s">
        <v>1632</v>
      </c>
      <c r="E103">
        <v>1</v>
      </c>
      <c r="F103" t="s">
        <v>1633</v>
      </c>
      <c r="G103" t="s">
        <v>54</v>
      </c>
      <c r="H103" t="s">
        <v>1407</v>
      </c>
      <c r="I103" t="s">
        <v>36</v>
      </c>
      <c r="J103">
        <v>15</v>
      </c>
      <c r="K103">
        <v>0</v>
      </c>
      <c r="L103" t="s">
        <v>5</v>
      </c>
      <c r="M103" t="s">
        <v>37</v>
      </c>
      <c r="N103" t="s">
        <v>1409</v>
      </c>
      <c r="O103" t="s">
        <v>1634</v>
      </c>
      <c r="P103" t="s">
        <v>37</v>
      </c>
    </row>
    <row r="104" spans="1:16" x14ac:dyDescent="0.25">
      <c r="A104" t="s">
        <v>266</v>
      </c>
      <c r="B104" t="s">
        <v>31</v>
      </c>
      <c r="C104" t="str">
        <f t="shared" si="3"/>
        <v>SZP25_S2</v>
      </c>
      <c r="D104" t="s">
        <v>1632</v>
      </c>
      <c r="E104">
        <v>2</v>
      </c>
      <c r="F104" t="s">
        <v>1633</v>
      </c>
      <c r="G104" t="s">
        <v>49</v>
      </c>
      <c r="H104" t="s">
        <v>1407</v>
      </c>
      <c r="I104" t="s">
        <v>36</v>
      </c>
      <c r="J104">
        <v>15</v>
      </c>
      <c r="K104">
        <v>25</v>
      </c>
      <c r="L104" t="s">
        <v>5</v>
      </c>
      <c r="M104" t="s">
        <v>37</v>
      </c>
      <c r="N104" t="s">
        <v>1635</v>
      </c>
      <c r="O104" t="s">
        <v>1634</v>
      </c>
      <c r="P104" t="s">
        <v>37</v>
      </c>
    </row>
    <row r="105" spans="1:16" x14ac:dyDescent="0.25">
      <c r="A105" t="s">
        <v>266</v>
      </c>
      <c r="B105" t="s">
        <v>31</v>
      </c>
      <c r="C105" t="str">
        <f t="shared" si="3"/>
        <v>SZP26_S1</v>
      </c>
      <c r="D105" t="s">
        <v>1636</v>
      </c>
      <c r="E105">
        <v>1</v>
      </c>
      <c r="F105" t="s">
        <v>1637</v>
      </c>
      <c r="G105" t="s">
        <v>54</v>
      </c>
      <c r="H105" t="s">
        <v>1407</v>
      </c>
      <c r="I105" t="s">
        <v>36</v>
      </c>
      <c r="J105">
        <v>15</v>
      </c>
      <c r="K105">
        <v>0</v>
      </c>
      <c r="L105" t="s">
        <v>5</v>
      </c>
      <c r="M105" t="s">
        <v>37</v>
      </c>
      <c r="N105" t="s">
        <v>1409</v>
      </c>
      <c r="O105" t="s">
        <v>1638</v>
      </c>
      <c r="P105" t="s">
        <v>37</v>
      </c>
    </row>
    <row r="106" spans="1:16" x14ac:dyDescent="0.25">
      <c r="A106" t="s">
        <v>266</v>
      </c>
      <c r="B106" t="s">
        <v>31</v>
      </c>
      <c r="C106" t="str">
        <f t="shared" si="3"/>
        <v>SZP26_S2</v>
      </c>
      <c r="D106" t="s">
        <v>1636</v>
      </c>
      <c r="E106">
        <v>2</v>
      </c>
      <c r="F106" t="s">
        <v>1637</v>
      </c>
      <c r="G106" t="s">
        <v>49</v>
      </c>
      <c r="H106" t="s">
        <v>1407</v>
      </c>
      <c r="I106" t="s">
        <v>36</v>
      </c>
      <c r="J106">
        <v>15</v>
      </c>
      <c r="K106">
        <v>25</v>
      </c>
      <c r="L106" t="s">
        <v>5</v>
      </c>
      <c r="M106" t="s">
        <v>37</v>
      </c>
      <c r="N106" t="s">
        <v>1639</v>
      </c>
      <c r="O106" t="s">
        <v>1638</v>
      </c>
      <c r="P106" t="s">
        <v>37</v>
      </c>
    </row>
    <row r="107" spans="1:16" x14ac:dyDescent="0.25">
      <c r="A107" t="s">
        <v>266</v>
      </c>
      <c r="B107" t="s">
        <v>31</v>
      </c>
      <c r="C107" t="str">
        <f t="shared" si="3"/>
        <v>SZP27_S1</v>
      </c>
      <c r="D107" t="s">
        <v>1640</v>
      </c>
      <c r="E107">
        <v>1</v>
      </c>
      <c r="F107" t="s">
        <v>1641</v>
      </c>
      <c r="G107" t="s">
        <v>54</v>
      </c>
      <c r="H107" t="s">
        <v>1407</v>
      </c>
      <c r="I107" t="s">
        <v>36</v>
      </c>
      <c r="J107">
        <v>15</v>
      </c>
      <c r="K107">
        <v>0</v>
      </c>
      <c r="L107" t="s">
        <v>5</v>
      </c>
      <c r="M107" t="s">
        <v>37</v>
      </c>
      <c r="N107" t="s">
        <v>1642</v>
      </c>
      <c r="O107" t="s">
        <v>1643</v>
      </c>
      <c r="P107" t="s">
        <v>37</v>
      </c>
    </row>
    <row r="108" spans="1:16" x14ac:dyDescent="0.25">
      <c r="A108" t="s">
        <v>266</v>
      </c>
      <c r="B108" t="s">
        <v>31</v>
      </c>
      <c r="C108" t="str">
        <f t="shared" si="3"/>
        <v>SZP27_S2</v>
      </c>
      <c r="D108" t="s">
        <v>1640</v>
      </c>
      <c r="E108">
        <v>2</v>
      </c>
      <c r="F108" t="s">
        <v>1641</v>
      </c>
      <c r="G108" t="s">
        <v>49</v>
      </c>
      <c r="H108" t="s">
        <v>1407</v>
      </c>
      <c r="I108" t="s">
        <v>36</v>
      </c>
      <c r="J108">
        <v>15</v>
      </c>
      <c r="K108">
        <v>50</v>
      </c>
      <c r="L108" t="s">
        <v>5</v>
      </c>
      <c r="M108" t="s">
        <v>37</v>
      </c>
      <c r="N108" t="s">
        <v>1644</v>
      </c>
      <c r="O108" t="s">
        <v>1643</v>
      </c>
      <c r="P108" t="s">
        <v>37</v>
      </c>
    </row>
    <row r="109" spans="1:16" x14ac:dyDescent="0.25">
      <c r="A109" t="s">
        <v>266</v>
      </c>
      <c r="B109" t="s">
        <v>31</v>
      </c>
      <c r="C109" t="str">
        <f t="shared" si="3"/>
        <v>SZP28_S1</v>
      </c>
      <c r="D109" t="s">
        <v>1645</v>
      </c>
      <c r="E109">
        <v>1</v>
      </c>
      <c r="F109" t="s">
        <v>1646</v>
      </c>
      <c r="G109" t="s">
        <v>54</v>
      </c>
      <c r="H109" t="s">
        <v>1407</v>
      </c>
      <c r="I109" t="s">
        <v>36</v>
      </c>
      <c r="J109">
        <v>15</v>
      </c>
      <c r="K109">
        <v>0</v>
      </c>
      <c r="L109" t="s">
        <v>5</v>
      </c>
      <c r="M109" t="s">
        <v>132</v>
      </c>
      <c r="N109" t="s">
        <v>1444</v>
      </c>
      <c r="O109" t="s">
        <v>1647</v>
      </c>
      <c r="P109" t="s">
        <v>37</v>
      </c>
    </row>
    <row r="110" spans="1:16" x14ac:dyDescent="0.25">
      <c r="A110" t="s">
        <v>266</v>
      </c>
      <c r="B110" t="s">
        <v>31</v>
      </c>
      <c r="C110" t="str">
        <f t="shared" si="3"/>
        <v>SZP28_S2</v>
      </c>
      <c r="D110" t="s">
        <v>1645</v>
      </c>
      <c r="E110">
        <v>2</v>
      </c>
      <c r="F110" t="s">
        <v>1646</v>
      </c>
      <c r="G110" t="s">
        <v>1648</v>
      </c>
      <c r="H110" t="s">
        <v>1407</v>
      </c>
      <c r="I110" t="s">
        <v>36</v>
      </c>
      <c r="J110">
        <v>15</v>
      </c>
      <c r="K110">
        <v>50</v>
      </c>
      <c r="L110" t="s">
        <v>5</v>
      </c>
      <c r="M110" t="s">
        <v>132</v>
      </c>
      <c r="N110" t="s">
        <v>1649</v>
      </c>
      <c r="O110" t="s">
        <v>1647</v>
      </c>
      <c r="P110" t="s">
        <v>37</v>
      </c>
    </row>
    <row r="111" spans="1:16" x14ac:dyDescent="0.25">
      <c r="A111" t="s">
        <v>266</v>
      </c>
      <c r="B111" t="s">
        <v>31</v>
      </c>
      <c r="C111" t="str">
        <f t="shared" si="3"/>
        <v>SZP28_S3</v>
      </c>
      <c r="D111" t="s">
        <v>1645</v>
      </c>
      <c r="E111">
        <v>3</v>
      </c>
      <c r="F111" t="s">
        <v>1646</v>
      </c>
      <c r="G111" t="s">
        <v>233</v>
      </c>
      <c r="H111" t="s">
        <v>1407</v>
      </c>
      <c r="I111" t="s">
        <v>36</v>
      </c>
      <c r="J111">
        <v>15</v>
      </c>
      <c r="K111">
        <v>50</v>
      </c>
      <c r="L111" t="s">
        <v>5</v>
      </c>
      <c r="M111" t="s">
        <v>132</v>
      </c>
      <c r="N111" t="s">
        <v>1650</v>
      </c>
      <c r="O111" t="s">
        <v>37</v>
      </c>
      <c r="P111" t="s">
        <v>37</v>
      </c>
    </row>
    <row r="112" spans="1:16" x14ac:dyDescent="0.25">
      <c r="A112" t="s">
        <v>266</v>
      </c>
      <c r="B112" t="s">
        <v>31</v>
      </c>
      <c r="C112" t="str">
        <f t="shared" si="3"/>
        <v>SZP29_S1</v>
      </c>
      <c r="D112" t="s">
        <v>1651</v>
      </c>
      <c r="E112">
        <v>1</v>
      </c>
      <c r="F112" t="s">
        <v>1652</v>
      </c>
      <c r="G112" t="s">
        <v>54</v>
      </c>
      <c r="H112" t="s">
        <v>1407</v>
      </c>
      <c r="I112" t="s">
        <v>36</v>
      </c>
      <c r="J112">
        <v>15</v>
      </c>
      <c r="K112">
        <v>0</v>
      </c>
      <c r="L112" t="s">
        <v>5</v>
      </c>
      <c r="M112" t="s">
        <v>37</v>
      </c>
      <c r="N112" t="s">
        <v>1409</v>
      </c>
      <c r="O112" t="s">
        <v>1653</v>
      </c>
      <c r="P112" t="s">
        <v>37</v>
      </c>
    </row>
    <row r="113" spans="1:16" x14ac:dyDescent="0.25">
      <c r="A113" t="s">
        <v>266</v>
      </c>
      <c r="B113" t="s">
        <v>31</v>
      </c>
      <c r="C113" t="str">
        <f t="shared" si="3"/>
        <v>SZP29_S2a</v>
      </c>
      <c r="D113" t="s">
        <v>1651</v>
      </c>
      <c r="E113" t="s">
        <v>72</v>
      </c>
      <c r="F113" t="s">
        <v>1652</v>
      </c>
      <c r="G113" t="s">
        <v>1654</v>
      </c>
      <c r="H113" t="s">
        <v>1407</v>
      </c>
      <c r="I113" t="s">
        <v>36</v>
      </c>
      <c r="J113">
        <v>15</v>
      </c>
      <c r="K113">
        <v>50</v>
      </c>
      <c r="L113" t="s">
        <v>5</v>
      </c>
      <c r="M113" t="s">
        <v>37</v>
      </c>
      <c r="N113" t="s">
        <v>1655</v>
      </c>
      <c r="O113" t="s">
        <v>1653</v>
      </c>
      <c r="P113" t="s">
        <v>1656</v>
      </c>
    </row>
    <row r="114" spans="1:16" x14ac:dyDescent="0.25">
      <c r="A114" t="s">
        <v>266</v>
      </c>
      <c r="B114" t="s">
        <v>31</v>
      </c>
      <c r="C114" t="str">
        <f t="shared" si="3"/>
        <v>SZP29_S3a</v>
      </c>
      <c r="D114" t="s">
        <v>1651</v>
      </c>
      <c r="E114" t="s">
        <v>40</v>
      </c>
      <c r="F114" t="s">
        <v>1652</v>
      </c>
      <c r="G114" t="s">
        <v>1657</v>
      </c>
      <c r="H114" t="s">
        <v>1407</v>
      </c>
      <c r="I114" t="s">
        <v>36</v>
      </c>
      <c r="J114">
        <v>15</v>
      </c>
      <c r="K114">
        <v>50</v>
      </c>
      <c r="L114" t="s">
        <v>5</v>
      </c>
      <c r="M114" t="s">
        <v>37</v>
      </c>
      <c r="N114" t="s">
        <v>1658</v>
      </c>
      <c r="O114" t="s">
        <v>37</v>
      </c>
      <c r="P114" t="s">
        <v>1656</v>
      </c>
    </row>
    <row r="115" spans="1:16" x14ac:dyDescent="0.25">
      <c r="A115" t="s">
        <v>266</v>
      </c>
      <c r="B115" t="s">
        <v>31</v>
      </c>
      <c r="C115" t="str">
        <f t="shared" si="3"/>
        <v>SZP29_S2b</v>
      </c>
      <c r="D115" t="s">
        <v>1651</v>
      </c>
      <c r="E115" t="s">
        <v>75</v>
      </c>
      <c r="F115" t="s">
        <v>1652</v>
      </c>
      <c r="G115" t="s">
        <v>1659</v>
      </c>
      <c r="H115" t="s">
        <v>1407</v>
      </c>
      <c r="I115" t="s">
        <v>36</v>
      </c>
      <c r="J115">
        <v>15</v>
      </c>
      <c r="K115">
        <v>80</v>
      </c>
      <c r="L115" t="s">
        <v>5</v>
      </c>
      <c r="M115" t="s">
        <v>37</v>
      </c>
      <c r="N115" t="s">
        <v>1655</v>
      </c>
      <c r="O115" t="s">
        <v>1653</v>
      </c>
      <c r="P115" t="s">
        <v>1660</v>
      </c>
    </row>
    <row r="116" spans="1:16" x14ac:dyDescent="0.25">
      <c r="A116" t="s">
        <v>266</v>
      </c>
      <c r="B116" t="s">
        <v>31</v>
      </c>
      <c r="C116" t="str">
        <f t="shared" si="3"/>
        <v>SZP29_S3b</v>
      </c>
      <c r="D116" t="s">
        <v>1651</v>
      </c>
      <c r="E116" t="s">
        <v>44</v>
      </c>
      <c r="F116" t="s">
        <v>1652</v>
      </c>
      <c r="G116" t="s">
        <v>1661</v>
      </c>
      <c r="H116" t="s">
        <v>1407</v>
      </c>
      <c r="I116" t="s">
        <v>36</v>
      </c>
      <c r="J116">
        <v>15</v>
      </c>
      <c r="K116">
        <v>80</v>
      </c>
      <c r="L116" t="s">
        <v>5</v>
      </c>
      <c r="M116" t="s">
        <v>37</v>
      </c>
      <c r="N116" t="s">
        <v>1662</v>
      </c>
      <c r="O116" t="s">
        <v>37</v>
      </c>
      <c r="P116" t="s">
        <v>1660</v>
      </c>
    </row>
    <row r="117" spans="1:16" x14ac:dyDescent="0.25">
      <c r="A117" t="s">
        <v>266</v>
      </c>
      <c r="B117" t="s">
        <v>31</v>
      </c>
      <c r="C117" t="str">
        <f t="shared" si="3"/>
        <v>SZP29_S4b</v>
      </c>
      <c r="D117" t="s">
        <v>1651</v>
      </c>
      <c r="E117" t="s">
        <v>163</v>
      </c>
      <c r="F117" t="s">
        <v>1652</v>
      </c>
      <c r="G117" t="s">
        <v>1663</v>
      </c>
      <c r="H117" t="s">
        <v>1407</v>
      </c>
      <c r="I117" t="s">
        <v>36</v>
      </c>
      <c r="J117">
        <v>15</v>
      </c>
      <c r="K117">
        <v>50</v>
      </c>
      <c r="L117" t="s">
        <v>5</v>
      </c>
      <c r="M117" t="s">
        <v>37</v>
      </c>
      <c r="N117" t="s">
        <v>1664</v>
      </c>
      <c r="O117" t="s">
        <v>37</v>
      </c>
      <c r="P117" t="s">
        <v>1660</v>
      </c>
    </row>
    <row r="118" spans="1:16" x14ac:dyDescent="0.25">
      <c r="A118" t="s">
        <v>266</v>
      </c>
      <c r="B118" t="s">
        <v>31</v>
      </c>
      <c r="C118" t="str">
        <f t="shared" si="3"/>
        <v>SZP29_S5b</v>
      </c>
      <c r="D118" t="s">
        <v>1651</v>
      </c>
      <c r="E118" t="s">
        <v>63</v>
      </c>
      <c r="F118" t="s">
        <v>1652</v>
      </c>
      <c r="G118" t="s">
        <v>1665</v>
      </c>
      <c r="H118" t="s">
        <v>1407</v>
      </c>
      <c r="I118" t="s">
        <v>36</v>
      </c>
      <c r="J118">
        <v>15</v>
      </c>
      <c r="K118">
        <v>50</v>
      </c>
      <c r="L118" t="s">
        <v>5</v>
      </c>
      <c r="M118" t="s">
        <v>37</v>
      </c>
      <c r="N118" t="s">
        <v>1666</v>
      </c>
      <c r="O118" t="s">
        <v>37</v>
      </c>
      <c r="P118" t="s">
        <v>1660</v>
      </c>
    </row>
    <row r="119" spans="1:16" x14ac:dyDescent="0.25">
      <c r="A119" t="s">
        <v>266</v>
      </c>
      <c r="B119" t="s">
        <v>31</v>
      </c>
      <c r="C119" t="str">
        <f t="shared" si="3"/>
        <v>SZP29_S2c</v>
      </c>
      <c r="D119" t="s">
        <v>1651</v>
      </c>
      <c r="E119" t="s">
        <v>78</v>
      </c>
      <c r="F119" t="s">
        <v>1652</v>
      </c>
      <c r="G119" t="s">
        <v>1667</v>
      </c>
      <c r="H119" t="s">
        <v>1407</v>
      </c>
      <c r="I119" t="s">
        <v>36</v>
      </c>
      <c r="J119">
        <v>15</v>
      </c>
      <c r="K119">
        <v>80</v>
      </c>
      <c r="L119" t="s">
        <v>5</v>
      </c>
      <c r="M119" t="s">
        <v>37</v>
      </c>
      <c r="N119" t="s">
        <v>1655</v>
      </c>
      <c r="O119" t="s">
        <v>1653</v>
      </c>
      <c r="P119" t="s">
        <v>1668</v>
      </c>
    </row>
    <row r="120" spans="1:16" x14ac:dyDescent="0.25">
      <c r="A120" t="s">
        <v>266</v>
      </c>
      <c r="B120" t="s">
        <v>31</v>
      </c>
      <c r="C120" t="str">
        <f t="shared" si="3"/>
        <v>SZP29_S3c</v>
      </c>
      <c r="D120" t="s">
        <v>1651</v>
      </c>
      <c r="E120" t="s">
        <v>80</v>
      </c>
      <c r="F120" t="s">
        <v>1652</v>
      </c>
      <c r="G120" t="s">
        <v>1669</v>
      </c>
      <c r="H120" t="s">
        <v>1407</v>
      </c>
      <c r="I120" t="s">
        <v>36</v>
      </c>
      <c r="J120">
        <v>15</v>
      </c>
      <c r="K120">
        <v>85</v>
      </c>
      <c r="L120" t="s">
        <v>5</v>
      </c>
      <c r="M120" t="s">
        <v>37</v>
      </c>
      <c r="N120" t="s">
        <v>1670</v>
      </c>
      <c r="O120" t="s">
        <v>37</v>
      </c>
      <c r="P120" t="s">
        <v>1668</v>
      </c>
    </row>
    <row r="121" spans="1:16" x14ac:dyDescent="0.25">
      <c r="A121" t="s">
        <v>266</v>
      </c>
      <c r="B121" t="s">
        <v>31</v>
      </c>
      <c r="C121" t="str">
        <f t="shared" si="3"/>
        <v>SZP29_S4c</v>
      </c>
      <c r="D121" t="s">
        <v>1651</v>
      </c>
      <c r="E121" t="s">
        <v>1671</v>
      </c>
      <c r="F121" t="s">
        <v>1652</v>
      </c>
      <c r="G121" t="s">
        <v>1672</v>
      </c>
      <c r="H121" t="s">
        <v>1407</v>
      </c>
      <c r="I121" t="s">
        <v>36</v>
      </c>
      <c r="J121">
        <v>15</v>
      </c>
      <c r="K121">
        <v>50</v>
      </c>
      <c r="L121" t="s">
        <v>5</v>
      </c>
      <c r="M121" t="s">
        <v>37</v>
      </c>
      <c r="N121" t="s">
        <v>1673</v>
      </c>
      <c r="O121" t="s">
        <v>37</v>
      </c>
      <c r="P121" t="s">
        <v>1668</v>
      </c>
    </row>
    <row r="122" spans="1:16" x14ac:dyDescent="0.25">
      <c r="A122" t="s">
        <v>266</v>
      </c>
      <c r="B122" t="s">
        <v>31</v>
      </c>
      <c r="C122" t="str">
        <f t="shared" si="3"/>
        <v>SZP30_S1</v>
      </c>
      <c r="D122" t="s">
        <v>1674</v>
      </c>
      <c r="E122">
        <v>1</v>
      </c>
      <c r="F122" t="s">
        <v>1675</v>
      </c>
      <c r="G122" t="s">
        <v>54</v>
      </c>
      <c r="H122" t="s">
        <v>1407</v>
      </c>
      <c r="I122" t="s">
        <v>36</v>
      </c>
      <c r="J122">
        <v>16</v>
      </c>
      <c r="K122">
        <v>0</v>
      </c>
      <c r="L122" t="s">
        <v>5</v>
      </c>
      <c r="M122" t="s">
        <v>37</v>
      </c>
      <c r="N122" t="s">
        <v>1676</v>
      </c>
      <c r="O122" t="s">
        <v>1677</v>
      </c>
      <c r="P122" t="s">
        <v>37</v>
      </c>
    </row>
    <row r="123" spans="1:16" x14ac:dyDescent="0.25">
      <c r="A123" t="s">
        <v>266</v>
      </c>
      <c r="B123" t="s">
        <v>31</v>
      </c>
      <c r="C123" t="str">
        <f t="shared" si="3"/>
        <v>SZP30_S2</v>
      </c>
      <c r="D123" t="s">
        <v>1674</v>
      </c>
      <c r="E123">
        <v>2</v>
      </c>
      <c r="F123" t="s">
        <v>1675</v>
      </c>
      <c r="G123" t="s">
        <v>1678</v>
      </c>
      <c r="H123" t="s">
        <v>1407</v>
      </c>
      <c r="I123" t="s">
        <v>36</v>
      </c>
      <c r="J123">
        <v>16</v>
      </c>
      <c r="K123">
        <v>50</v>
      </c>
      <c r="L123" t="s">
        <v>5</v>
      </c>
      <c r="M123" t="s">
        <v>37</v>
      </c>
      <c r="N123" t="s">
        <v>1679</v>
      </c>
      <c r="O123" t="s">
        <v>1677</v>
      </c>
      <c r="P123" t="s">
        <v>37</v>
      </c>
    </row>
    <row r="124" spans="1:16" x14ac:dyDescent="0.25">
      <c r="A124" t="s">
        <v>266</v>
      </c>
      <c r="B124" t="s">
        <v>31</v>
      </c>
      <c r="C124" t="str">
        <f t="shared" si="3"/>
        <v>SZP30_S3</v>
      </c>
      <c r="D124" t="s">
        <v>1674</v>
      </c>
      <c r="E124">
        <v>3</v>
      </c>
      <c r="F124" t="s">
        <v>1675</v>
      </c>
      <c r="G124" t="s">
        <v>1678</v>
      </c>
      <c r="H124" t="s">
        <v>1407</v>
      </c>
      <c r="I124" t="s">
        <v>36</v>
      </c>
      <c r="J124">
        <v>16</v>
      </c>
      <c r="K124">
        <v>50</v>
      </c>
      <c r="L124" t="s">
        <v>5</v>
      </c>
      <c r="M124" t="s">
        <v>37</v>
      </c>
      <c r="N124" t="s">
        <v>1680</v>
      </c>
      <c r="O124" t="s">
        <v>37</v>
      </c>
      <c r="P124" t="s">
        <v>37</v>
      </c>
    </row>
    <row r="125" spans="1:16" x14ac:dyDescent="0.25">
      <c r="A125" t="s">
        <v>266</v>
      </c>
      <c r="B125" t="s">
        <v>31</v>
      </c>
      <c r="C125" t="str">
        <f t="shared" si="3"/>
        <v>SZP31_S1</v>
      </c>
      <c r="D125" t="s">
        <v>1681</v>
      </c>
      <c r="E125">
        <v>1</v>
      </c>
      <c r="F125" t="s">
        <v>1682</v>
      </c>
      <c r="G125" t="s">
        <v>54</v>
      </c>
      <c r="H125" t="s">
        <v>1407</v>
      </c>
      <c r="I125" t="s">
        <v>36</v>
      </c>
      <c r="J125">
        <v>17</v>
      </c>
      <c r="K125">
        <v>0</v>
      </c>
      <c r="L125" t="s">
        <v>5</v>
      </c>
      <c r="M125" t="s">
        <v>131</v>
      </c>
      <c r="N125" t="s">
        <v>1423</v>
      </c>
      <c r="O125" t="s">
        <v>1683</v>
      </c>
      <c r="P125" t="s">
        <v>37</v>
      </c>
    </row>
    <row r="126" spans="1:16" x14ac:dyDescent="0.25">
      <c r="A126" t="s">
        <v>266</v>
      </c>
      <c r="B126" t="s">
        <v>31</v>
      </c>
      <c r="C126" t="str">
        <f t="shared" si="3"/>
        <v>SZP31_S2</v>
      </c>
      <c r="D126" t="s">
        <v>1681</v>
      </c>
      <c r="E126">
        <v>2</v>
      </c>
      <c r="F126" t="s">
        <v>1682</v>
      </c>
      <c r="G126" t="s">
        <v>1684</v>
      </c>
      <c r="H126" t="s">
        <v>1407</v>
      </c>
      <c r="I126" t="s">
        <v>36</v>
      </c>
      <c r="J126">
        <v>17</v>
      </c>
      <c r="K126">
        <v>100</v>
      </c>
      <c r="L126" t="s">
        <v>5</v>
      </c>
      <c r="M126" t="s">
        <v>131</v>
      </c>
      <c r="N126" t="s">
        <v>1685</v>
      </c>
      <c r="O126" t="s">
        <v>1683</v>
      </c>
      <c r="P126" t="s">
        <v>37</v>
      </c>
    </row>
    <row r="127" spans="1:16" x14ac:dyDescent="0.25">
      <c r="A127" t="s">
        <v>266</v>
      </c>
      <c r="B127" t="s">
        <v>31</v>
      </c>
      <c r="C127" t="str">
        <f t="shared" si="3"/>
        <v>SZP31_S3o</v>
      </c>
      <c r="D127" t="s">
        <v>1681</v>
      </c>
      <c r="E127" t="s">
        <v>1686</v>
      </c>
      <c r="F127" t="s">
        <v>1682</v>
      </c>
      <c r="G127" t="s">
        <v>1687</v>
      </c>
      <c r="H127" t="s">
        <v>1407</v>
      </c>
      <c r="I127" t="s">
        <v>36</v>
      </c>
      <c r="J127">
        <v>17</v>
      </c>
      <c r="K127">
        <v>200</v>
      </c>
      <c r="L127" t="s">
        <v>5</v>
      </c>
      <c r="M127" t="s">
        <v>131</v>
      </c>
      <c r="N127" t="s">
        <v>1688</v>
      </c>
      <c r="O127" t="s">
        <v>37</v>
      </c>
      <c r="P127" t="s">
        <v>37</v>
      </c>
    </row>
    <row r="128" spans="1:16" x14ac:dyDescent="0.25">
      <c r="A128" t="s">
        <v>266</v>
      </c>
      <c r="B128" t="s">
        <v>31</v>
      </c>
      <c r="C128" t="str">
        <f t="shared" si="3"/>
        <v>SZP31_S4o</v>
      </c>
      <c r="D128" t="s">
        <v>1681</v>
      </c>
      <c r="E128" t="s">
        <v>1689</v>
      </c>
      <c r="F128" t="s">
        <v>1682</v>
      </c>
      <c r="G128" t="s">
        <v>1690</v>
      </c>
      <c r="H128" t="s">
        <v>1407</v>
      </c>
      <c r="I128" t="s">
        <v>36</v>
      </c>
      <c r="J128">
        <v>17</v>
      </c>
      <c r="K128">
        <v>200</v>
      </c>
      <c r="L128" t="s">
        <v>5</v>
      </c>
      <c r="M128" t="s">
        <v>131</v>
      </c>
      <c r="N128" t="s">
        <v>1688</v>
      </c>
      <c r="O128" t="s">
        <v>37</v>
      </c>
      <c r="P128" t="s">
        <v>37</v>
      </c>
    </row>
    <row r="129" spans="1:16" x14ac:dyDescent="0.25">
      <c r="A129" t="s">
        <v>266</v>
      </c>
      <c r="B129" t="s">
        <v>31</v>
      </c>
      <c r="C129" t="str">
        <f t="shared" si="3"/>
        <v>SZP31_S5o</v>
      </c>
      <c r="D129" t="s">
        <v>1681</v>
      </c>
      <c r="E129" t="s">
        <v>1691</v>
      </c>
      <c r="F129" t="s">
        <v>1682</v>
      </c>
      <c r="G129" t="s">
        <v>1692</v>
      </c>
      <c r="H129" t="s">
        <v>1407</v>
      </c>
      <c r="I129" t="s">
        <v>36</v>
      </c>
      <c r="J129">
        <v>17</v>
      </c>
      <c r="K129">
        <v>200</v>
      </c>
      <c r="L129" t="s">
        <v>5</v>
      </c>
      <c r="M129" t="s">
        <v>131</v>
      </c>
      <c r="N129" t="s">
        <v>1688</v>
      </c>
      <c r="O129" t="s">
        <v>37</v>
      </c>
      <c r="P129" t="s">
        <v>37</v>
      </c>
    </row>
    <row r="130" spans="1:16" x14ac:dyDescent="0.25">
      <c r="A130" t="s">
        <v>266</v>
      </c>
      <c r="B130" t="s">
        <v>31</v>
      </c>
      <c r="C130" t="str">
        <f t="shared" ref="C130:C161" si="4">_xlfn.CONCAT(D130,"_S",E130)</f>
        <v>SZP31_S6</v>
      </c>
      <c r="D130" t="s">
        <v>1681</v>
      </c>
      <c r="E130">
        <v>6</v>
      </c>
      <c r="F130" t="s">
        <v>1682</v>
      </c>
      <c r="G130" t="s">
        <v>1693</v>
      </c>
      <c r="H130" t="s">
        <v>1407</v>
      </c>
      <c r="I130" t="s">
        <v>36</v>
      </c>
      <c r="J130">
        <v>17</v>
      </c>
      <c r="K130">
        <v>100</v>
      </c>
      <c r="L130" t="s">
        <v>5</v>
      </c>
      <c r="M130" t="s">
        <v>131</v>
      </c>
      <c r="N130" t="s">
        <v>1688</v>
      </c>
      <c r="O130" t="s">
        <v>37</v>
      </c>
      <c r="P130" t="s">
        <v>37</v>
      </c>
    </row>
    <row r="131" spans="1:16" x14ac:dyDescent="0.25">
      <c r="A131" t="s">
        <v>266</v>
      </c>
      <c r="B131" t="s">
        <v>31</v>
      </c>
      <c r="C131" t="str">
        <f t="shared" si="4"/>
        <v>SZP31_S7</v>
      </c>
      <c r="D131" t="s">
        <v>1681</v>
      </c>
      <c r="E131">
        <v>7</v>
      </c>
      <c r="F131" t="s">
        <v>1682</v>
      </c>
      <c r="G131" t="s">
        <v>1694</v>
      </c>
      <c r="H131" t="s">
        <v>1407</v>
      </c>
      <c r="I131" t="s">
        <v>36</v>
      </c>
      <c r="J131">
        <v>17</v>
      </c>
      <c r="K131">
        <v>50</v>
      </c>
      <c r="L131" t="s">
        <v>5</v>
      </c>
      <c r="M131" t="s">
        <v>131</v>
      </c>
      <c r="N131" t="s">
        <v>1695</v>
      </c>
      <c r="O131" t="s">
        <v>37</v>
      </c>
      <c r="P131" t="s">
        <v>37</v>
      </c>
    </row>
    <row r="132" spans="1:16" x14ac:dyDescent="0.25">
      <c r="A132" t="s">
        <v>266</v>
      </c>
      <c r="B132" t="s">
        <v>31</v>
      </c>
      <c r="C132" t="str">
        <f t="shared" si="4"/>
        <v>SZP31_S8</v>
      </c>
      <c r="D132" t="s">
        <v>1681</v>
      </c>
      <c r="E132">
        <v>8</v>
      </c>
      <c r="F132" t="s">
        <v>1682</v>
      </c>
      <c r="G132" t="s">
        <v>49</v>
      </c>
      <c r="H132" t="s">
        <v>1407</v>
      </c>
      <c r="I132" t="s">
        <v>36</v>
      </c>
      <c r="J132">
        <v>17</v>
      </c>
      <c r="K132">
        <v>500</v>
      </c>
      <c r="L132" t="s">
        <v>5</v>
      </c>
      <c r="M132" t="s">
        <v>131</v>
      </c>
      <c r="N132" t="s">
        <v>1696</v>
      </c>
      <c r="O132" t="s">
        <v>37</v>
      </c>
      <c r="P132" t="s">
        <v>37</v>
      </c>
    </row>
    <row r="133" spans="1:16" x14ac:dyDescent="0.25">
      <c r="A133" t="s">
        <v>266</v>
      </c>
      <c r="B133" t="s">
        <v>31</v>
      </c>
      <c r="C133" t="str">
        <f t="shared" si="4"/>
        <v>SZP32_S1</v>
      </c>
      <c r="D133" t="s">
        <v>1697</v>
      </c>
      <c r="E133">
        <v>1</v>
      </c>
      <c r="F133" t="s">
        <v>1698</v>
      </c>
      <c r="G133" t="s">
        <v>54</v>
      </c>
      <c r="H133" t="s">
        <v>1407</v>
      </c>
      <c r="I133" t="s">
        <v>36</v>
      </c>
      <c r="J133">
        <v>17</v>
      </c>
      <c r="K133">
        <v>0</v>
      </c>
      <c r="L133" t="s">
        <v>5</v>
      </c>
      <c r="M133" t="s">
        <v>131</v>
      </c>
      <c r="N133" t="s">
        <v>1423</v>
      </c>
      <c r="O133" t="s">
        <v>1699</v>
      </c>
      <c r="P133" t="s">
        <v>37</v>
      </c>
    </row>
    <row r="134" spans="1:16" x14ac:dyDescent="0.25">
      <c r="A134" t="s">
        <v>266</v>
      </c>
      <c r="B134" t="s">
        <v>31</v>
      </c>
      <c r="C134" t="str">
        <f t="shared" si="4"/>
        <v>SZP32_S2</v>
      </c>
      <c r="D134" t="s">
        <v>1697</v>
      </c>
      <c r="E134">
        <v>2</v>
      </c>
      <c r="F134" t="s">
        <v>1698</v>
      </c>
      <c r="G134" t="s">
        <v>1700</v>
      </c>
      <c r="H134" t="s">
        <v>1407</v>
      </c>
      <c r="I134" t="s">
        <v>36</v>
      </c>
      <c r="J134">
        <v>17</v>
      </c>
      <c r="K134">
        <v>400</v>
      </c>
      <c r="L134" t="s">
        <v>5</v>
      </c>
      <c r="M134" t="s">
        <v>131</v>
      </c>
      <c r="N134" t="s">
        <v>1701</v>
      </c>
      <c r="O134" t="s">
        <v>1699</v>
      </c>
      <c r="P134" t="s">
        <v>37</v>
      </c>
    </row>
    <row r="135" spans="1:16" x14ac:dyDescent="0.25">
      <c r="A135" t="s">
        <v>266</v>
      </c>
      <c r="B135" t="s">
        <v>31</v>
      </c>
      <c r="C135" t="str">
        <f t="shared" si="4"/>
        <v>SZP32_S3</v>
      </c>
      <c r="D135" t="s">
        <v>1697</v>
      </c>
      <c r="E135">
        <v>3</v>
      </c>
      <c r="F135" t="s">
        <v>1698</v>
      </c>
      <c r="G135" t="s">
        <v>1702</v>
      </c>
      <c r="H135" t="s">
        <v>1407</v>
      </c>
      <c r="I135" t="s">
        <v>36</v>
      </c>
      <c r="J135">
        <v>17</v>
      </c>
      <c r="K135">
        <v>400</v>
      </c>
      <c r="L135" t="s">
        <v>5</v>
      </c>
      <c r="M135" t="s">
        <v>131</v>
      </c>
      <c r="N135" t="s">
        <v>1703</v>
      </c>
      <c r="O135" t="s">
        <v>37</v>
      </c>
      <c r="P135" t="s">
        <v>37</v>
      </c>
    </row>
    <row r="136" spans="1:16" x14ac:dyDescent="0.25">
      <c r="A136" t="s">
        <v>266</v>
      </c>
      <c r="B136" t="s">
        <v>31</v>
      </c>
      <c r="C136" t="str">
        <f t="shared" si="4"/>
        <v>SZP32_S4</v>
      </c>
      <c r="D136" t="s">
        <v>1697</v>
      </c>
      <c r="E136">
        <v>4</v>
      </c>
      <c r="F136" t="s">
        <v>1698</v>
      </c>
      <c r="G136" t="s">
        <v>1704</v>
      </c>
      <c r="H136" t="s">
        <v>1407</v>
      </c>
      <c r="I136" t="s">
        <v>36</v>
      </c>
      <c r="J136">
        <v>17</v>
      </c>
      <c r="K136">
        <v>500</v>
      </c>
      <c r="L136" t="s">
        <v>5</v>
      </c>
      <c r="M136" t="s">
        <v>131</v>
      </c>
      <c r="N136" t="s">
        <v>1705</v>
      </c>
      <c r="O136" t="s">
        <v>37</v>
      </c>
      <c r="P136" t="s">
        <v>37</v>
      </c>
    </row>
    <row r="137" spans="1:16" x14ac:dyDescent="0.25">
      <c r="A137" t="s">
        <v>266</v>
      </c>
      <c r="B137" t="s">
        <v>31</v>
      </c>
      <c r="C137" t="str">
        <f t="shared" si="4"/>
        <v>SZP32_S5</v>
      </c>
      <c r="D137" t="s">
        <v>1697</v>
      </c>
      <c r="E137">
        <v>5</v>
      </c>
      <c r="F137" t="s">
        <v>1698</v>
      </c>
      <c r="G137" t="s">
        <v>49</v>
      </c>
      <c r="H137" t="s">
        <v>1407</v>
      </c>
      <c r="I137" t="s">
        <v>36</v>
      </c>
      <c r="J137">
        <v>17</v>
      </c>
      <c r="K137">
        <v>750</v>
      </c>
      <c r="L137" t="s">
        <v>5</v>
      </c>
      <c r="M137" t="s">
        <v>131</v>
      </c>
      <c r="N137" t="s">
        <v>1706</v>
      </c>
      <c r="O137" t="s">
        <v>37</v>
      </c>
      <c r="P137" t="s">
        <v>37</v>
      </c>
    </row>
    <row r="138" spans="1:16" x14ac:dyDescent="0.25">
      <c r="A138" t="s">
        <v>266</v>
      </c>
      <c r="B138" t="s">
        <v>31</v>
      </c>
      <c r="C138" t="str">
        <f t="shared" si="4"/>
        <v>SZP33_S1</v>
      </c>
      <c r="D138" t="s">
        <v>1707</v>
      </c>
      <c r="E138">
        <v>1</v>
      </c>
      <c r="F138" t="s">
        <v>1708</v>
      </c>
      <c r="G138" t="s">
        <v>54</v>
      </c>
      <c r="H138" t="s">
        <v>1407</v>
      </c>
      <c r="I138" t="s">
        <v>36</v>
      </c>
      <c r="J138">
        <v>17</v>
      </c>
      <c r="K138">
        <v>0</v>
      </c>
      <c r="L138" t="s">
        <v>5</v>
      </c>
      <c r="M138" t="s">
        <v>131</v>
      </c>
      <c r="N138" t="s">
        <v>1616</v>
      </c>
      <c r="O138" t="s">
        <v>1709</v>
      </c>
      <c r="P138" t="s">
        <v>37</v>
      </c>
    </row>
    <row r="139" spans="1:16" x14ac:dyDescent="0.25">
      <c r="A139" t="s">
        <v>266</v>
      </c>
      <c r="B139" t="s">
        <v>31</v>
      </c>
      <c r="C139" t="str">
        <f t="shared" si="4"/>
        <v>SZP33_S2</v>
      </c>
      <c r="D139" t="s">
        <v>1707</v>
      </c>
      <c r="E139">
        <v>2</v>
      </c>
      <c r="F139" t="s">
        <v>1708</v>
      </c>
      <c r="G139" t="s">
        <v>49</v>
      </c>
      <c r="H139" t="s">
        <v>1407</v>
      </c>
      <c r="I139" t="s">
        <v>36</v>
      </c>
      <c r="J139">
        <v>17</v>
      </c>
      <c r="K139">
        <v>200</v>
      </c>
      <c r="L139" t="s">
        <v>5</v>
      </c>
      <c r="M139" t="s">
        <v>131</v>
      </c>
      <c r="N139" t="s">
        <v>1710</v>
      </c>
      <c r="O139" t="s">
        <v>1709</v>
      </c>
      <c r="P139" t="s">
        <v>37</v>
      </c>
    </row>
    <row r="140" spans="1:16" x14ac:dyDescent="0.25">
      <c r="A140" t="s">
        <v>266</v>
      </c>
      <c r="B140" t="s">
        <v>31</v>
      </c>
      <c r="C140" t="str">
        <f t="shared" si="4"/>
        <v>SZP34_S1</v>
      </c>
      <c r="D140" t="s">
        <v>1711</v>
      </c>
      <c r="E140">
        <v>1</v>
      </c>
      <c r="F140" t="s">
        <v>1712</v>
      </c>
      <c r="G140" t="s">
        <v>54</v>
      </c>
      <c r="H140" t="s">
        <v>1407</v>
      </c>
      <c r="I140" t="s">
        <v>36</v>
      </c>
      <c r="J140">
        <v>18</v>
      </c>
      <c r="K140">
        <v>0</v>
      </c>
      <c r="L140" t="s">
        <v>5</v>
      </c>
      <c r="M140" t="s">
        <v>131</v>
      </c>
      <c r="N140" t="s">
        <v>1713</v>
      </c>
      <c r="O140" t="s">
        <v>1714</v>
      </c>
      <c r="P140" t="s">
        <v>37</v>
      </c>
    </row>
    <row r="141" spans="1:16" x14ac:dyDescent="0.25">
      <c r="A141" t="s">
        <v>266</v>
      </c>
      <c r="B141" t="s">
        <v>31</v>
      </c>
      <c r="C141" t="str">
        <f t="shared" si="4"/>
        <v>SZP34_S2</v>
      </c>
      <c r="D141" t="s">
        <v>1711</v>
      </c>
      <c r="E141">
        <v>2</v>
      </c>
      <c r="F141" t="s">
        <v>1712</v>
      </c>
      <c r="G141" t="s">
        <v>1715</v>
      </c>
      <c r="H141" t="s">
        <v>1407</v>
      </c>
      <c r="I141" t="s">
        <v>36</v>
      </c>
      <c r="J141">
        <v>18</v>
      </c>
      <c r="K141">
        <v>100</v>
      </c>
      <c r="L141" t="s">
        <v>5</v>
      </c>
      <c r="M141" t="s">
        <v>131</v>
      </c>
      <c r="N141" t="s">
        <v>1716</v>
      </c>
      <c r="O141" t="s">
        <v>1714</v>
      </c>
      <c r="P141" t="s">
        <v>37</v>
      </c>
    </row>
    <row r="142" spans="1:16" x14ac:dyDescent="0.25">
      <c r="A142" t="s">
        <v>266</v>
      </c>
      <c r="B142" t="s">
        <v>31</v>
      </c>
      <c r="C142" t="str">
        <f t="shared" si="4"/>
        <v>SZP34_S3</v>
      </c>
      <c r="D142" t="s">
        <v>1711</v>
      </c>
      <c r="E142">
        <v>3</v>
      </c>
      <c r="F142" t="s">
        <v>1712</v>
      </c>
      <c r="G142" t="s">
        <v>1717</v>
      </c>
      <c r="H142" t="s">
        <v>1407</v>
      </c>
      <c r="I142" t="s">
        <v>36</v>
      </c>
      <c r="J142">
        <v>18</v>
      </c>
      <c r="K142">
        <v>50</v>
      </c>
      <c r="L142" t="s">
        <v>5</v>
      </c>
      <c r="M142" t="s">
        <v>131</v>
      </c>
      <c r="N142" t="s">
        <v>1718</v>
      </c>
      <c r="O142" t="s">
        <v>37</v>
      </c>
      <c r="P142" t="s">
        <v>37</v>
      </c>
    </row>
    <row r="143" spans="1:16" x14ac:dyDescent="0.25">
      <c r="A143" t="s">
        <v>266</v>
      </c>
      <c r="B143" t="s">
        <v>31</v>
      </c>
      <c r="C143" t="str">
        <f t="shared" si="4"/>
        <v>SZP34_S4</v>
      </c>
      <c r="D143" t="s">
        <v>1711</v>
      </c>
      <c r="E143">
        <v>4</v>
      </c>
      <c r="F143" t="s">
        <v>1712</v>
      </c>
      <c r="G143" t="s">
        <v>1719</v>
      </c>
      <c r="H143" t="s">
        <v>1407</v>
      </c>
      <c r="I143" t="s">
        <v>36</v>
      </c>
      <c r="J143">
        <v>18</v>
      </c>
      <c r="K143">
        <v>500</v>
      </c>
      <c r="L143" t="s">
        <v>5</v>
      </c>
      <c r="M143" t="s">
        <v>131</v>
      </c>
      <c r="N143" t="s">
        <v>1720</v>
      </c>
      <c r="O143" t="s">
        <v>37</v>
      </c>
      <c r="P143" t="s">
        <v>37</v>
      </c>
    </row>
    <row r="144" spans="1:16" x14ac:dyDescent="0.25">
      <c r="A144" t="s">
        <v>266</v>
      </c>
      <c r="B144" t="s">
        <v>31</v>
      </c>
      <c r="C144" t="str">
        <f t="shared" si="4"/>
        <v>SZP34_S5</v>
      </c>
      <c r="D144" t="s">
        <v>1711</v>
      </c>
      <c r="E144">
        <v>5</v>
      </c>
      <c r="F144" t="s">
        <v>1712</v>
      </c>
      <c r="G144" t="s">
        <v>1721</v>
      </c>
      <c r="H144" t="s">
        <v>1407</v>
      </c>
      <c r="I144" t="s">
        <v>36</v>
      </c>
      <c r="J144">
        <v>18</v>
      </c>
      <c r="K144">
        <v>300</v>
      </c>
      <c r="L144" t="s">
        <v>5</v>
      </c>
      <c r="M144" t="s">
        <v>131</v>
      </c>
      <c r="N144" t="s">
        <v>1722</v>
      </c>
      <c r="O144" t="s">
        <v>37</v>
      </c>
      <c r="P144" t="s">
        <v>37</v>
      </c>
    </row>
    <row r="145" spans="1:16" x14ac:dyDescent="0.25">
      <c r="A145" t="s">
        <v>266</v>
      </c>
      <c r="B145" t="s">
        <v>31</v>
      </c>
      <c r="C145" t="str">
        <f t="shared" si="4"/>
        <v>SZP34_S7</v>
      </c>
      <c r="D145" t="s">
        <v>1711</v>
      </c>
      <c r="E145">
        <v>7</v>
      </c>
      <c r="F145" t="s">
        <v>1712</v>
      </c>
      <c r="G145" t="s">
        <v>49</v>
      </c>
      <c r="H145" t="s">
        <v>1407</v>
      </c>
      <c r="I145" t="s">
        <v>36</v>
      </c>
      <c r="J145">
        <v>18</v>
      </c>
      <c r="K145">
        <v>900</v>
      </c>
      <c r="L145" t="s">
        <v>5</v>
      </c>
      <c r="M145" t="s">
        <v>131</v>
      </c>
      <c r="N145" t="s">
        <v>1723</v>
      </c>
      <c r="O145" t="s">
        <v>37</v>
      </c>
      <c r="P145" t="s">
        <v>37</v>
      </c>
    </row>
    <row r="146" spans="1:16" x14ac:dyDescent="0.25">
      <c r="A146" t="s">
        <v>266</v>
      </c>
      <c r="B146" t="s">
        <v>31</v>
      </c>
      <c r="C146" t="str">
        <f t="shared" si="4"/>
        <v>SZP35_S1</v>
      </c>
      <c r="D146" t="s">
        <v>1724</v>
      </c>
      <c r="E146">
        <v>1</v>
      </c>
      <c r="F146" t="s">
        <v>1725</v>
      </c>
      <c r="G146" t="s">
        <v>54</v>
      </c>
      <c r="H146" t="s">
        <v>1407</v>
      </c>
      <c r="I146" t="s">
        <v>36</v>
      </c>
      <c r="J146">
        <v>18</v>
      </c>
      <c r="K146">
        <v>0</v>
      </c>
      <c r="L146" t="s">
        <v>5</v>
      </c>
      <c r="M146" t="s">
        <v>37</v>
      </c>
      <c r="N146" t="s">
        <v>1409</v>
      </c>
      <c r="O146" t="s">
        <v>1726</v>
      </c>
      <c r="P146" t="s">
        <v>37</v>
      </c>
    </row>
    <row r="147" spans="1:16" x14ac:dyDescent="0.25">
      <c r="A147" t="s">
        <v>266</v>
      </c>
      <c r="B147" t="s">
        <v>31</v>
      </c>
      <c r="C147" t="str">
        <f t="shared" si="4"/>
        <v>SZP35_S2</v>
      </c>
      <c r="D147" t="s">
        <v>1724</v>
      </c>
      <c r="E147">
        <v>2</v>
      </c>
      <c r="F147" t="s">
        <v>1725</v>
      </c>
      <c r="G147" t="s">
        <v>49</v>
      </c>
      <c r="H147" t="s">
        <v>1407</v>
      </c>
      <c r="I147" t="s">
        <v>36</v>
      </c>
      <c r="J147">
        <v>18</v>
      </c>
      <c r="K147">
        <v>10</v>
      </c>
      <c r="L147" t="s">
        <v>5</v>
      </c>
      <c r="M147" t="s">
        <v>37</v>
      </c>
      <c r="N147" t="s">
        <v>1727</v>
      </c>
      <c r="O147" t="s">
        <v>1726</v>
      </c>
      <c r="P147" t="s">
        <v>37</v>
      </c>
    </row>
    <row r="148" spans="1:16" x14ac:dyDescent="0.25">
      <c r="A148" t="s">
        <v>266</v>
      </c>
      <c r="B148" t="s">
        <v>31</v>
      </c>
      <c r="C148" t="str">
        <f t="shared" si="4"/>
        <v>SZP36_S1</v>
      </c>
      <c r="D148" t="s">
        <v>1728</v>
      </c>
      <c r="E148">
        <v>1</v>
      </c>
      <c r="F148" t="s">
        <v>1729</v>
      </c>
      <c r="G148" t="s">
        <v>54</v>
      </c>
      <c r="H148" t="s">
        <v>1407</v>
      </c>
      <c r="I148" t="s">
        <v>36</v>
      </c>
      <c r="J148">
        <v>19</v>
      </c>
      <c r="K148">
        <v>0</v>
      </c>
      <c r="L148" t="s">
        <v>5</v>
      </c>
      <c r="M148" t="s">
        <v>131</v>
      </c>
      <c r="N148" t="s">
        <v>1409</v>
      </c>
      <c r="O148" t="s">
        <v>1730</v>
      </c>
      <c r="P148" t="s">
        <v>37</v>
      </c>
    </row>
    <row r="149" spans="1:16" x14ac:dyDescent="0.25">
      <c r="A149" t="s">
        <v>266</v>
      </c>
      <c r="B149" t="s">
        <v>31</v>
      </c>
      <c r="C149" t="str">
        <f t="shared" si="4"/>
        <v>SZP36_S2</v>
      </c>
      <c r="D149" t="s">
        <v>1728</v>
      </c>
      <c r="E149">
        <v>2</v>
      </c>
      <c r="F149" t="s">
        <v>1729</v>
      </c>
      <c r="G149" t="s">
        <v>49</v>
      </c>
      <c r="H149" t="s">
        <v>1407</v>
      </c>
      <c r="I149" t="s">
        <v>36</v>
      </c>
      <c r="J149">
        <v>19</v>
      </c>
      <c r="K149">
        <v>25</v>
      </c>
      <c r="L149" t="s">
        <v>5</v>
      </c>
      <c r="M149" t="s">
        <v>131</v>
      </c>
      <c r="N149" t="s">
        <v>1731</v>
      </c>
      <c r="O149" t="s">
        <v>1730</v>
      </c>
      <c r="P149" t="s">
        <v>37</v>
      </c>
    </row>
    <row r="150" spans="1:16" x14ac:dyDescent="0.25">
      <c r="A150" t="s">
        <v>266</v>
      </c>
      <c r="B150" t="s">
        <v>31</v>
      </c>
      <c r="C150" t="str">
        <f t="shared" si="4"/>
        <v>SZP37_S1</v>
      </c>
      <c r="D150" t="s">
        <v>1732</v>
      </c>
      <c r="E150">
        <v>1</v>
      </c>
      <c r="F150" t="s">
        <v>1733</v>
      </c>
      <c r="G150" t="s">
        <v>54</v>
      </c>
      <c r="H150" t="s">
        <v>1407</v>
      </c>
      <c r="I150" t="s">
        <v>36</v>
      </c>
      <c r="J150">
        <v>21</v>
      </c>
      <c r="K150">
        <v>0</v>
      </c>
      <c r="L150" t="s">
        <v>5</v>
      </c>
      <c r="M150" t="s">
        <v>37</v>
      </c>
      <c r="N150" t="s">
        <v>1409</v>
      </c>
      <c r="O150" t="s">
        <v>1734</v>
      </c>
      <c r="P150" t="s">
        <v>37</v>
      </c>
    </row>
    <row r="151" spans="1:16" x14ac:dyDescent="0.25">
      <c r="A151" t="s">
        <v>266</v>
      </c>
      <c r="B151" t="s">
        <v>31</v>
      </c>
      <c r="C151" t="str">
        <f t="shared" si="4"/>
        <v>SZP37_S2</v>
      </c>
      <c r="D151" t="s">
        <v>1732</v>
      </c>
      <c r="E151">
        <v>2</v>
      </c>
      <c r="F151" t="s">
        <v>1733</v>
      </c>
      <c r="G151" t="s">
        <v>49</v>
      </c>
      <c r="H151" t="s">
        <v>1407</v>
      </c>
      <c r="I151" t="s">
        <v>36</v>
      </c>
      <c r="J151">
        <v>21</v>
      </c>
      <c r="K151">
        <v>25</v>
      </c>
      <c r="L151" t="s">
        <v>5</v>
      </c>
      <c r="M151" t="s">
        <v>37</v>
      </c>
      <c r="N151" t="s">
        <v>1735</v>
      </c>
      <c r="O151" t="s">
        <v>1734</v>
      </c>
      <c r="P151" t="s">
        <v>37</v>
      </c>
    </row>
    <row r="152" spans="1:16" x14ac:dyDescent="0.25">
      <c r="A152" t="s">
        <v>266</v>
      </c>
      <c r="B152" t="s">
        <v>31</v>
      </c>
      <c r="C152" t="str">
        <f t="shared" si="4"/>
        <v>SZP38_S1</v>
      </c>
      <c r="D152" t="s">
        <v>1736</v>
      </c>
      <c r="E152">
        <v>1</v>
      </c>
      <c r="F152" t="s">
        <v>1737</v>
      </c>
      <c r="G152" t="s">
        <v>54</v>
      </c>
      <c r="H152" t="s">
        <v>1407</v>
      </c>
      <c r="I152" t="s">
        <v>36</v>
      </c>
      <c r="J152">
        <v>24</v>
      </c>
      <c r="K152">
        <v>0</v>
      </c>
      <c r="L152" t="s">
        <v>5</v>
      </c>
      <c r="M152" t="s">
        <v>37</v>
      </c>
      <c r="N152" t="s">
        <v>1409</v>
      </c>
      <c r="O152" t="s">
        <v>1738</v>
      </c>
      <c r="P152" t="s">
        <v>37</v>
      </c>
    </row>
    <row r="153" spans="1:16" x14ac:dyDescent="0.25">
      <c r="A153" t="s">
        <v>266</v>
      </c>
      <c r="B153" t="s">
        <v>31</v>
      </c>
      <c r="C153" t="str">
        <f t="shared" si="4"/>
        <v>SZP38_S2</v>
      </c>
      <c r="D153" t="s">
        <v>1736</v>
      </c>
      <c r="E153">
        <v>2</v>
      </c>
      <c r="F153" t="s">
        <v>1737</v>
      </c>
      <c r="G153" t="s">
        <v>1739</v>
      </c>
      <c r="H153" t="s">
        <v>1407</v>
      </c>
      <c r="I153" t="s">
        <v>36</v>
      </c>
      <c r="J153">
        <v>24</v>
      </c>
      <c r="K153">
        <v>80</v>
      </c>
      <c r="L153" t="s">
        <v>5</v>
      </c>
      <c r="M153" t="s">
        <v>37</v>
      </c>
      <c r="N153" t="s">
        <v>1740</v>
      </c>
      <c r="O153" t="s">
        <v>1738</v>
      </c>
      <c r="P153" t="s">
        <v>37</v>
      </c>
    </row>
    <row r="154" spans="1:16" x14ac:dyDescent="0.25">
      <c r="A154" t="s">
        <v>266</v>
      </c>
      <c r="B154" t="s">
        <v>31</v>
      </c>
      <c r="C154" t="str">
        <f t="shared" si="4"/>
        <v>SZP38_S3</v>
      </c>
      <c r="D154" t="s">
        <v>1736</v>
      </c>
      <c r="E154">
        <v>3</v>
      </c>
      <c r="F154" t="s">
        <v>1737</v>
      </c>
      <c r="G154" t="s">
        <v>1741</v>
      </c>
      <c r="H154" t="s">
        <v>1407</v>
      </c>
      <c r="I154" t="s">
        <v>36</v>
      </c>
      <c r="J154">
        <v>24</v>
      </c>
      <c r="K154">
        <v>80</v>
      </c>
      <c r="L154" t="s">
        <v>5</v>
      </c>
      <c r="M154" t="s">
        <v>37</v>
      </c>
      <c r="N154" t="s">
        <v>1742</v>
      </c>
      <c r="O154" t="s">
        <v>37</v>
      </c>
      <c r="P154" t="s">
        <v>37</v>
      </c>
    </row>
    <row r="155" spans="1:16" x14ac:dyDescent="0.25">
      <c r="A155" t="s">
        <v>266</v>
      </c>
      <c r="B155" t="s">
        <v>31</v>
      </c>
      <c r="C155" t="str">
        <f t="shared" si="4"/>
        <v>SZP38_S4</v>
      </c>
      <c r="D155" t="s">
        <v>1736</v>
      </c>
      <c r="E155">
        <v>4</v>
      </c>
      <c r="F155" t="s">
        <v>1737</v>
      </c>
      <c r="G155" t="s">
        <v>1743</v>
      </c>
      <c r="H155" t="s">
        <v>1407</v>
      </c>
      <c r="I155" t="s">
        <v>36</v>
      </c>
      <c r="J155">
        <v>24</v>
      </c>
      <c r="K155">
        <v>80</v>
      </c>
      <c r="L155" t="s">
        <v>5</v>
      </c>
      <c r="M155" t="s">
        <v>37</v>
      </c>
      <c r="N155" t="s">
        <v>1744</v>
      </c>
      <c r="O155" t="s">
        <v>37</v>
      </c>
      <c r="P155" t="s">
        <v>37</v>
      </c>
    </row>
    <row r="156" spans="1:16" x14ac:dyDescent="0.25">
      <c r="A156" t="s">
        <v>266</v>
      </c>
      <c r="B156" t="s">
        <v>31</v>
      </c>
      <c r="C156" t="str">
        <f t="shared" si="4"/>
        <v>SZP38_S5</v>
      </c>
      <c r="D156" t="s">
        <v>1736</v>
      </c>
      <c r="E156">
        <v>5</v>
      </c>
      <c r="F156" t="s">
        <v>1737</v>
      </c>
      <c r="G156" t="s">
        <v>49</v>
      </c>
      <c r="H156" t="s">
        <v>1407</v>
      </c>
      <c r="I156" t="s">
        <v>36</v>
      </c>
      <c r="J156">
        <v>24</v>
      </c>
      <c r="K156">
        <v>80</v>
      </c>
      <c r="L156" t="s">
        <v>5</v>
      </c>
      <c r="M156" t="s">
        <v>37</v>
      </c>
      <c r="N156" t="s">
        <v>1745</v>
      </c>
      <c r="O156" t="s">
        <v>37</v>
      </c>
      <c r="P156" t="s">
        <v>37</v>
      </c>
    </row>
    <row r="157" spans="1:16" x14ac:dyDescent="0.25">
      <c r="A157" t="s">
        <v>266</v>
      </c>
      <c r="B157" t="s">
        <v>31</v>
      </c>
      <c r="C157" t="str">
        <f t="shared" si="4"/>
        <v>SZP39_S1</v>
      </c>
      <c r="D157" t="s">
        <v>1746</v>
      </c>
      <c r="E157">
        <v>1</v>
      </c>
      <c r="F157" t="s">
        <v>1747</v>
      </c>
      <c r="G157" t="s">
        <v>54</v>
      </c>
      <c r="H157" t="s">
        <v>1407</v>
      </c>
      <c r="I157" t="s">
        <v>36</v>
      </c>
      <c r="J157">
        <v>24</v>
      </c>
      <c r="K157">
        <v>0</v>
      </c>
      <c r="L157" t="s">
        <v>5</v>
      </c>
      <c r="M157" t="s">
        <v>37</v>
      </c>
      <c r="N157" t="s">
        <v>1409</v>
      </c>
      <c r="O157" t="s">
        <v>1748</v>
      </c>
      <c r="P157" t="s">
        <v>37</v>
      </c>
    </row>
    <row r="158" spans="1:16" x14ac:dyDescent="0.25">
      <c r="A158" t="s">
        <v>266</v>
      </c>
      <c r="B158" t="s">
        <v>31</v>
      </c>
      <c r="C158" t="str">
        <f t="shared" si="4"/>
        <v>SZP39_S2</v>
      </c>
      <c r="D158" t="s">
        <v>1746</v>
      </c>
      <c r="E158">
        <v>2</v>
      </c>
      <c r="F158" t="s">
        <v>1747</v>
      </c>
      <c r="G158" t="s">
        <v>49</v>
      </c>
      <c r="H158" t="s">
        <v>1407</v>
      </c>
      <c r="I158" t="s">
        <v>36</v>
      </c>
      <c r="J158">
        <v>24</v>
      </c>
      <c r="K158">
        <v>50</v>
      </c>
      <c r="L158" t="s">
        <v>5</v>
      </c>
      <c r="M158" t="s">
        <v>37</v>
      </c>
      <c r="N158" t="s">
        <v>1749</v>
      </c>
      <c r="O158" t="s">
        <v>1748</v>
      </c>
      <c r="P158" t="s">
        <v>37</v>
      </c>
    </row>
    <row r="159" spans="1:16" x14ac:dyDescent="0.25">
      <c r="A159" t="s">
        <v>266</v>
      </c>
      <c r="B159" t="s">
        <v>31</v>
      </c>
      <c r="C159" t="str">
        <f t="shared" si="4"/>
        <v>SZP40_S1</v>
      </c>
      <c r="D159" t="s">
        <v>1750</v>
      </c>
      <c r="E159">
        <v>1</v>
      </c>
      <c r="F159" t="s">
        <v>1751</v>
      </c>
      <c r="G159" t="s">
        <v>54</v>
      </c>
      <c r="H159" t="s">
        <v>1407</v>
      </c>
      <c r="I159" t="s">
        <v>36</v>
      </c>
      <c r="J159">
        <v>24</v>
      </c>
      <c r="K159">
        <v>0</v>
      </c>
      <c r="L159" t="s">
        <v>5</v>
      </c>
      <c r="M159" t="s">
        <v>37</v>
      </c>
      <c r="N159" t="s">
        <v>1409</v>
      </c>
      <c r="O159" t="s">
        <v>1752</v>
      </c>
      <c r="P159" t="s">
        <v>37</v>
      </c>
    </row>
    <row r="160" spans="1:16" x14ac:dyDescent="0.25">
      <c r="A160" t="s">
        <v>266</v>
      </c>
      <c r="B160" t="s">
        <v>31</v>
      </c>
      <c r="C160" t="str">
        <f t="shared" si="4"/>
        <v>SZP40_S2</v>
      </c>
      <c r="D160" t="s">
        <v>1750</v>
      </c>
      <c r="E160">
        <v>2</v>
      </c>
      <c r="F160" t="s">
        <v>1751</v>
      </c>
      <c r="G160" t="s">
        <v>49</v>
      </c>
      <c r="H160" t="s">
        <v>1407</v>
      </c>
      <c r="I160" t="s">
        <v>36</v>
      </c>
      <c r="J160">
        <v>24</v>
      </c>
      <c r="K160">
        <v>75</v>
      </c>
      <c r="L160" t="s">
        <v>5</v>
      </c>
      <c r="M160" t="s">
        <v>37</v>
      </c>
      <c r="N160" t="s">
        <v>1753</v>
      </c>
      <c r="O160" t="s">
        <v>1752</v>
      </c>
      <c r="P160" t="s">
        <v>37</v>
      </c>
    </row>
    <row r="161" spans="1:16" x14ac:dyDescent="0.25">
      <c r="A161" t="s">
        <v>266</v>
      </c>
      <c r="B161" t="s">
        <v>31</v>
      </c>
      <c r="C161" t="str">
        <f t="shared" si="4"/>
        <v>SZP41_S1</v>
      </c>
      <c r="D161" t="s">
        <v>1754</v>
      </c>
      <c r="E161">
        <v>1</v>
      </c>
      <c r="F161" t="s">
        <v>1755</v>
      </c>
      <c r="G161" t="s">
        <v>54</v>
      </c>
      <c r="H161" t="s">
        <v>1407</v>
      </c>
      <c r="I161" t="s">
        <v>36</v>
      </c>
      <c r="J161">
        <v>24</v>
      </c>
      <c r="K161">
        <v>0</v>
      </c>
      <c r="L161" t="s">
        <v>5</v>
      </c>
      <c r="M161" t="s">
        <v>37</v>
      </c>
      <c r="N161" t="s">
        <v>1409</v>
      </c>
      <c r="O161" t="s">
        <v>1756</v>
      </c>
      <c r="P161" t="s">
        <v>37</v>
      </c>
    </row>
    <row r="162" spans="1:16" x14ac:dyDescent="0.25">
      <c r="A162" t="s">
        <v>266</v>
      </c>
      <c r="B162" t="s">
        <v>31</v>
      </c>
      <c r="C162" t="str">
        <f t="shared" ref="C162:C193" si="5">_xlfn.CONCAT(D162,"_S",E162)</f>
        <v>SZP41_S2</v>
      </c>
      <c r="D162" t="s">
        <v>1754</v>
      </c>
      <c r="E162">
        <v>2</v>
      </c>
      <c r="F162" t="s">
        <v>1755</v>
      </c>
      <c r="G162" t="s">
        <v>49</v>
      </c>
      <c r="H162" t="s">
        <v>1407</v>
      </c>
      <c r="I162" t="s">
        <v>36</v>
      </c>
      <c r="J162">
        <v>24</v>
      </c>
      <c r="K162">
        <v>75</v>
      </c>
      <c r="L162" t="s">
        <v>5</v>
      </c>
      <c r="M162" t="s">
        <v>37</v>
      </c>
      <c r="N162" t="s">
        <v>1757</v>
      </c>
      <c r="O162" t="s">
        <v>1756</v>
      </c>
      <c r="P162" t="s">
        <v>37</v>
      </c>
    </row>
    <row r="163" spans="1:16" x14ac:dyDescent="0.25">
      <c r="A163" t="s">
        <v>266</v>
      </c>
      <c r="B163" t="s">
        <v>31</v>
      </c>
      <c r="C163" t="str">
        <f t="shared" si="5"/>
        <v>SZP42_S1</v>
      </c>
      <c r="D163" t="s">
        <v>1758</v>
      </c>
      <c r="E163">
        <v>1</v>
      </c>
      <c r="F163" t="s">
        <v>1759</v>
      </c>
      <c r="G163" t="s">
        <v>54</v>
      </c>
      <c r="H163" t="s">
        <v>1407</v>
      </c>
      <c r="I163" t="s">
        <v>36</v>
      </c>
      <c r="J163">
        <v>25</v>
      </c>
      <c r="K163">
        <v>0</v>
      </c>
      <c r="L163" t="s">
        <v>5</v>
      </c>
      <c r="M163" t="s">
        <v>37</v>
      </c>
      <c r="N163" t="s">
        <v>1409</v>
      </c>
      <c r="O163" t="s">
        <v>1760</v>
      </c>
      <c r="P163" t="s">
        <v>37</v>
      </c>
    </row>
    <row r="164" spans="1:16" x14ac:dyDescent="0.25">
      <c r="A164" t="s">
        <v>266</v>
      </c>
      <c r="B164" t="s">
        <v>31</v>
      </c>
      <c r="C164" t="str">
        <f t="shared" si="5"/>
        <v>SZP42_S2</v>
      </c>
      <c r="D164" t="s">
        <v>1758</v>
      </c>
      <c r="E164">
        <v>2</v>
      </c>
      <c r="F164" t="s">
        <v>1759</v>
      </c>
      <c r="G164" t="s">
        <v>1761</v>
      </c>
      <c r="H164" t="s">
        <v>1407</v>
      </c>
      <c r="I164" t="s">
        <v>36</v>
      </c>
      <c r="J164">
        <v>25</v>
      </c>
      <c r="K164">
        <v>50</v>
      </c>
      <c r="L164" t="s">
        <v>5</v>
      </c>
      <c r="M164" t="s">
        <v>37</v>
      </c>
      <c r="N164" t="s">
        <v>1762</v>
      </c>
      <c r="O164" t="s">
        <v>1760</v>
      </c>
      <c r="P164" t="s">
        <v>37</v>
      </c>
    </row>
    <row r="165" spans="1:16" x14ac:dyDescent="0.25">
      <c r="A165" t="s">
        <v>266</v>
      </c>
      <c r="B165" t="s">
        <v>31</v>
      </c>
      <c r="C165" t="str">
        <f t="shared" si="5"/>
        <v>SZP42_S3</v>
      </c>
      <c r="D165" t="s">
        <v>1758</v>
      </c>
      <c r="E165">
        <v>3</v>
      </c>
      <c r="F165" t="s">
        <v>1759</v>
      </c>
      <c r="G165" t="s">
        <v>49</v>
      </c>
      <c r="H165" t="s">
        <v>1407</v>
      </c>
      <c r="I165" t="s">
        <v>36</v>
      </c>
      <c r="J165">
        <v>25</v>
      </c>
      <c r="K165">
        <v>75</v>
      </c>
      <c r="L165" t="s">
        <v>5</v>
      </c>
      <c r="M165" t="s">
        <v>37</v>
      </c>
      <c r="N165" t="s">
        <v>1763</v>
      </c>
      <c r="O165" t="s">
        <v>37</v>
      </c>
      <c r="P165" t="s">
        <v>37</v>
      </c>
    </row>
    <row r="166" spans="1:16" x14ac:dyDescent="0.25">
      <c r="A166" t="s">
        <v>266</v>
      </c>
      <c r="B166" t="s">
        <v>31</v>
      </c>
      <c r="C166" t="str">
        <f t="shared" si="5"/>
        <v>SZP43_S1</v>
      </c>
      <c r="D166" t="s">
        <v>1764</v>
      </c>
      <c r="E166">
        <v>1</v>
      </c>
      <c r="F166" t="s">
        <v>1765</v>
      </c>
      <c r="G166" t="s">
        <v>54</v>
      </c>
      <c r="H166" t="s">
        <v>1407</v>
      </c>
      <c r="I166" t="s">
        <v>36</v>
      </c>
      <c r="J166">
        <v>25</v>
      </c>
      <c r="K166">
        <v>0</v>
      </c>
      <c r="L166" t="s">
        <v>5</v>
      </c>
      <c r="M166" t="s">
        <v>37</v>
      </c>
      <c r="N166" t="s">
        <v>1409</v>
      </c>
      <c r="O166" t="s">
        <v>1766</v>
      </c>
      <c r="P166" t="s">
        <v>37</v>
      </c>
    </row>
    <row r="167" spans="1:16" x14ac:dyDescent="0.25">
      <c r="A167" t="s">
        <v>266</v>
      </c>
      <c r="B167" t="s">
        <v>31</v>
      </c>
      <c r="C167" t="str">
        <f t="shared" si="5"/>
        <v>SZP43_S2</v>
      </c>
      <c r="D167" t="s">
        <v>1764</v>
      </c>
      <c r="E167">
        <v>2</v>
      </c>
      <c r="F167" t="s">
        <v>1765</v>
      </c>
      <c r="G167" t="s">
        <v>49</v>
      </c>
      <c r="H167" t="s">
        <v>1407</v>
      </c>
      <c r="I167" t="s">
        <v>36</v>
      </c>
      <c r="J167">
        <v>25</v>
      </c>
      <c r="K167">
        <v>50</v>
      </c>
      <c r="L167" t="s">
        <v>5</v>
      </c>
      <c r="M167" t="s">
        <v>37</v>
      </c>
      <c r="N167" t="s">
        <v>1767</v>
      </c>
      <c r="O167" t="s">
        <v>1766</v>
      </c>
      <c r="P167" t="s">
        <v>37</v>
      </c>
    </row>
    <row r="168" spans="1:16" x14ac:dyDescent="0.25">
      <c r="A168" t="s">
        <v>266</v>
      </c>
      <c r="B168" t="s">
        <v>31</v>
      </c>
      <c r="C168" t="str">
        <f t="shared" si="5"/>
        <v>SZP44_S1</v>
      </c>
      <c r="D168" t="s">
        <v>1768</v>
      </c>
      <c r="E168">
        <v>1</v>
      </c>
      <c r="F168" t="s">
        <v>1769</v>
      </c>
      <c r="G168" t="s">
        <v>54</v>
      </c>
      <c r="H168" t="s">
        <v>1407</v>
      </c>
      <c r="I168" t="s">
        <v>36</v>
      </c>
      <c r="J168">
        <v>26</v>
      </c>
      <c r="K168">
        <v>0</v>
      </c>
      <c r="L168" t="s">
        <v>5</v>
      </c>
      <c r="M168" t="s">
        <v>37</v>
      </c>
      <c r="N168" t="s">
        <v>1409</v>
      </c>
      <c r="O168" t="s">
        <v>1770</v>
      </c>
      <c r="P168" t="s">
        <v>37</v>
      </c>
    </row>
    <row r="169" spans="1:16" x14ac:dyDescent="0.25">
      <c r="A169" t="s">
        <v>266</v>
      </c>
      <c r="B169" t="s">
        <v>31</v>
      </c>
      <c r="C169" t="str">
        <f t="shared" si="5"/>
        <v>SZP44_S2</v>
      </c>
      <c r="D169" t="s">
        <v>1768</v>
      </c>
      <c r="E169">
        <v>2</v>
      </c>
      <c r="F169" t="s">
        <v>1769</v>
      </c>
      <c r="G169" t="s">
        <v>49</v>
      </c>
      <c r="H169" t="s">
        <v>1407</v>
      </c>
      <c r="I169" t="s">
        <v>36</v>
      </c>
      <c r="J169">
        <v>26</v>
      </c>
      <c r="K169">
        <v>25</v>
      </c>
      <c r="L169" t="s">
        <v>5</v>
      </c>
      <c r="M169" t="s">
        <v>37</v>
      </c>
      <c r="N169" t="s">
        <v>1771</v>
      </c>
      <c r="O169" t="s">
        <v>1770</v>
      </c>
      <c r="P169" t="s">
        <v>37</v>
      </c>
    </row>
    <row r="170" spans="1:16" x14ac:dyDescent="0.25">
      <c r="A170" t="s">
        <v>266</v>
      </c>
      <c r="B170" t="s">
        <v>31</v>
      </c>
      <c r="C170" t="str">
        <f t="shared" si="5"/>
        <v>SZP45_S1</v>
      </c>
      <c r="D170" t="s">
        <v>1772</v>
      </c>
      <c r="E170">
        <v>1</v>
      </c>
      <c r="F170" t="s">
        <v>1773</v>
      </c>
      <c r="G170" t="s">
        <v>54</v>
      </c>
      <c r="H170" t="s">
        <v>1407</v>
      </c>
      <c r="I170" t="s">
        <v>36</v>
      </c>
      <c r="J170">
        <v>30</v>
      </c>
      <c r="K170">
        <v>0</v>
      </c>
      <c r="L170" t="s">
        <v>5</v>
      </c>
      <c r="M170" t="s">
        <v>37</v>
      </c>
      <c r="N170" t="s">
        <v>1409</v>
      </c>
      <c r="O170" t="s">
        <v>1774</v>
      </c>
      <c r="P170" t="s">
        <v>37</v>
      </c>
    </row>
    <row r="171" spans="1:16" x14ac:dyDescent="0.25">
      <c r="A171" t="s">
        <v>266</v>
      </c>
      <c r="B171" t="s">
        <v>31</v>
      </c>
      <c r="C171" t="str">
        <f t="shared" si="5"/>
        <v>SZP45_S2</v>
      </c>
      <c r="D171" t="s">
        <v>1772</v>
      </c>
      <c r="E171">
        <v>2</v>
      </c>
      <c r="F171" t="s">
        <v>1773</v>
      </c>
      <c r="G171" t="s">
        <v>49</v>
      </c>
      <c r="H171" t="s">
        <v>1407</v>
      </c>
      <c r="I171" t="s">
        <v>36</v>
      </c>
      <c r="J171">
        <v>30</v>
      </c>
      <c r="K171">
        <v>50</v>
      </c>
      <c r="L171" t="s">
        <v>5</v>
      </c>
      <c r="M171" t="s">
        <v>37</v>
      </c>
      <c r="N171" t="s">
        <v>1775</v>
      </c>
      <c r="O171" t="s">
        <v>1774</v>
      </c>
      <c r="P171" t="s">
        <v>37</v>
      </c>
    </row>
    <row r="172" spans="1:16" x14ac:dyDescent="0.25">
      <c r="A172" t="s">
        <v>266</v>
      </c>
      <c r="B172" t="s">
        <v>31</v>
      </c>
      <c r="C172" t="str">
        <f t="shared" si="5"/>
        <v>SZP46_S1</v>
      </c>
      <c r="D172" t="s">
        <v>1776</v>
      </c>
      <c r="E172">
        <v>1</v>
      </c>
      <c r="F172" t="s">
        <v>1777</v>
      </c>
      <c r="G172" t="s">
        <v>54</v>
      </c>
      <c r="H172" t="s">
        <v>1407</v>
      </c>
      <c r="I172" t="s">
        <v>36</v>
      </c>
      <c r="J172">
        <v>30</v>
      </c>
      <c r="K172">
        <v>0</v>
      </c>
      <c r="L172" t="s">
        <v>5</v>
      </c>
      <c r="M172" t="s">
        <v>37</v>
      </c>
      <c r="N172" t="s">
        <v>1409</v>
      </c>
      <c r="O172" t="s">
        <v>1778</v>
      </c>
      <c r="P172" t="s">
        <v>37</v>
      </c>
    </row>
    <row r="173" spans="1:16" x14ac:dyDescent="0.25">
      <c r="A173" t="s">
        <v>266</v>
      </c>
      <c r="B173" t="s">
        <v>31</v>
      </c>
      <c r="C173" t="str">
        <f t="shared" si="5"/>
        <v>SZP46_S2</v>
      </c>
      <c r="D173" t="s">
        <v>1776</v>
      </c>
      <c r="E173">
        <v>2</v>
      </c>
      <c r="F173" t="s">
        <v>1777</v>
      </c>
      <c r="G173" t="s">
        <v>1779</v>
      </c>
      <c r="H173" t="s">
        <v>1407</v>
      </c>
      <c r="I173" t="s">
        <v>36</v>
      </c>
      <c r="J173">
        <v>30</v>
      </c>
      <c r="K173">
        <v>25</v>
      </c>
      <c r="L173" t="s">
        <v>5</v>
      </c>
      <c r="M173" t="s">
        <v>37</v>
      </c>
      <c r="N173" t="s">
        <v>1780</v>
      </c>
      <c r="O173" t="s">
        <v>1778</v>
      </c>
      <c r="P173" t="s">
        <v>37</v>
      </c>
    </row>
    <row r="174" spans="1:16" x14ac:dyDescent="0.25">
      <c r="A174" t="s">
        <v>266</v>
      </c>
      <c r="B174" t="s">
        <v>31</v>
      </c>
      <c r="C174" t="str">
        <f t="shared" si="5"/>
        <v>SZP46_S3</v>
      </c>
      <c r="D174" t="s">
        <v>1776</v>
      </c>
      <c r="E174">
        <v>3</v>
      </c>
      <c r="F174" t="s">
        <v>1777</v>
      </c>
      <c r="G174" t="s">
        <v>1781</v>
      </c>
      <c r="H174" t="s">
        <v>1407</v>
      </c>
      <c r="I174" t="s">
        <v>36</v>
      </c>
      <c r="J174">
        <v>30</v>
      </c>
      <c r="K174">
        <v>25</v>
      </c>
      <c r="L174" t="s">
        <v>5</v>
      </c>
      <c r="M174" t="s">
        <v>37</v>
      </c>
      <c r="N174" t="s">
        <v>1782</v>
      </c>
      <c r="O174" t="s">
        <v>37</v>
      </c>
      <c r="P174" t="s">
        <v>37</v>
      </c>
    </row>
    <row r="175" spans="1:16" x14ac:dyDescent="0.25">
      <c r="A175" t="s">
        <v>266</v>
      </c>
      <c r="B175" t="s">
        <v>31</v>
      </c>
      <c r="C175" t="str">
        <f t="shared" si="5"/>
        <v>SZP46_S4</v>
      </c>
      <c r="D175" t="s">
        <v>1776</v>
      </c>
      <c r="E175">
        <v>4</v>
      </c>
      <c r="F175" t="s">
        <v>1777</v>
      </c>
      <c r="G175" t="s">
        <v>1783</v>
      </c>
      <c r="H175" t="s">
        <v>1407</v>
      </c>
      <c r="I175" t="s">
        <v>36</v>
      </c>
      <c r="J175">
        <v>30</v>
      </c>
      <c r="K175">
        <v>25</v>
      </c>
      <c r="L175" t="s">
        <v>5</v>
      </c>
      <c r="M175" t="s">
        <v>37</v>
      </c>
      <c r="N175" t="s">
        <v>1784</v>
      </c>
      <c r="O175" t="s">
        <v>37</v>
      </c>
      <c r="P175" t="s">
        <v>37</v>
      </c>
    </row>
    <row r="176" spans="1:16" x14ac:dyDescent="0.25">
      <c r="A176" t="s">
        <v>266</v>
      </c>
      <c r="B176" t="s">
        <v>31</v>
      </c>
      <c r="C176" t="str">
        <f t="shared" si="5"/>
        <v>SZP46_S5</v>
      </c>
      <c r="D176" t="s">
        <v>1776</v>
      </c>
      <c r="E176">
        <v>5</v>
      </c>
      <c r="F176" t="s">
        <v>1777</v>
      </c>
      <c r="G176" t="s">
        <v>49</v>
      </c>
      <c r="H176" t="s">
        <v>1407</v>
      </c>
      <c r="I176" t="s">
        <v>36</v>
      </c>
      <c r="J176">
        <v>30</v>
      </c>
      <c r="K176">
        <v>50</v>
      </c>
      <c r="L176" t="s">
        <v>5</v>
      </c>
      <c r="M176" t="s">
        <v>37</v>
      </c>
      <c r="N176" t="s">
        <v>1785</v>
      </c>
      <c r="O176" t="s">
        <v>37</v>
      </c>
      <c r="P176" t="s">
        <v>37</v>
      </c>
    </row>
    <row r="177" spans="1:16" x14ac:dyDescent="0.25">
      <c r="A177" s="1" t="s">
        <v>111</v>
      </c>
      <c r="B177" t="s">
        <v>31</v>
      </c>
      <c r="C177" t="str">
        <f t="shared" si="5"/>
        <v>SZW1_S1</v>
      </c>
      <c r="D177" t="s">
        <v>1786</v>
      </c>
      <c r="E177">
        <v>1</v>
      </c>
      <c r="F177" t="s">
        <v>1787</v>
      </c>
      <c r="G177" t="s">
        <v>54</v>
      </c>
      <c r="H177" t="s">
        <v>1407</v>
      </c>
      <c r="I177" t="s">
        <v>36</v>
      </c>
      <c r="J177">
        <v>16</v>
      </c>
      <c r="K177">
        <v>0</v>
      </c>
      <c r="L177" t="s">
        <v>5</v>
      </c>
      <c r="M177" t="s">
        <v>37</v>
      </c>
      <c r="N177" t="s">
        <v>1409</v>
      </c>
      <c r="O177" t="s">
        <v>1788</v>
      </c>
      <c r="P177" t="s">
        <v>37</v>
      </c>
    </row>
    <row r="178" spans="1:16" x14ac:dyDescent="0.25">
      <c r="A178" s="1" t="s">
        <v>111</v>
      </c>
      <c r="B178" t="s">
        <v>31</v>
      </c>
      <c r="C178" t="str">
        <f t="shared" si="5"/>
        <v>SZW1_S2</v>
      </c>
      <c r="D178" t="s">
        <v>1786</v>
      </c>
      <c r="E178">
        <v>2</v>
      </c>
      <c r="F178" t="s">
        <v>1787</v>
      </c>
      <c r="G178" t="s">
        <v>49</v>
      </c>
      <c r="H178" t="s">
        <v>1407</v>
      </c>
      <c r="I178" t="s">
        <v>36</v>
      </c>
      <c r="J178">
        <v>16</v>
      </c>
      <c r="K178">
        <v>250</v>
      </c>
      <c r="L178" t="s">
        <v>5</v>
      </c>
      <c r="M178" t="s">
        <v>37</v>
      </c>
      <c r="N178" t="s">
        <v>1789</v>
      </c>
      <c r="O178" t="s">
        <v>1788</v>
      </c>
      <c r="P178" t="s">
        <v>37</v>
      </c>
    </row>
    <row r="179" spans="1:16" x14ac:dyDescent="0.25">
      <c r="A179" s="1" t="s">
        <v>111</v>
      </c>
      <c r="B179" t="s">
        <v>31</v>
      </c>
      <c r="C179" t="str">
        <f t="shared" si="5"/>
        <v>SZW2_S1</v>
      </c>
      <c r="D179" t="s">
        <v>1790</v>
      </c>
      <c r="E179">
        <v>1</v>
      </c>
      <c r="F179" t="s">
        <v>1791</v>
      </c>
      <c r="G179" t="s">
        <v>54</v>
      </c>
      <c r="H179" t="s">
        <v>1407</v>
      </c>
      <c r="I179" t="s">
        <v>36</v>
      </c>
      <c r="J179">
        <v>17</v>
      </c>
      <c r="K179">
        <v>0</v>
      </c>
      <c r="L179" t="s">
        <v>5</v>
      </c>
      <c r="M179" t="s">
        <v>37</v>
      </c>
      <c r="N179" t="s">
        <v>1423</v>
      </c>
      <c r="O179" t="s">
        <v>1792</v>
      </c>
      <c r="P179" t="s">
        <v>37</v>
      </c>
    </row>
    <row r="180" spans="1:16" x14ac:dyDescent="0.25">
      <c r="A180" s="1" t="s">
        <v>111</v>
      </c>
      <c r="B180" t="s">
        <v>31</v>
      </c>
      <c r="C180" t="str">
        <f t="shared" si="5"/>
        <v>SZW2_S2</v>
      </c>
      <c r="D180" t="s">
        <v>1790</v>
      </c>
      <c r="E180">
        <v>2</v>
      </c>
      <c r="F180" t="s">
        <v>1791</v>
      </c>
      <c r="G180" t="s">
        <v>49</v>
      </c>
      <c r="H180" t="s">
        <v>1407</v>
      </c>
      <c r="I180" t="s">
        <v>36</v>
      </c>
      <c r="J180">
        <v>17</v>
      </c>
      <c r="K180">
        <v>260</v>
      </c>
      <c r="L180" t="s">
        <v>5</v>
      </c>
      <c r="M180" t="s">
        <v>37</v>
      </c>
      <c r="N180" t="s">
        <v>1793</v>
      </c>
      <c r="O180" t="s">
        <v>1792</v>
      </c>
      <c r="P180" t="s">
        <v>37</v>
      </c>
    </row>
    <row r="181" spans="1:16" x14ac:dyDescent="0.25">
      <c r="A181" s="1" t="s">
        <v>111</v>
      </c>
      <c r="B181" t="s">
        <v>31</v>
      </c>
      <c r="C181" t="str">
        <f t="shared" si="5"/>
        <v>SZW3_S1</v>
      </c>
      <c r="D181" t="s">
        <v>1794</v>
      </c>
      <c r="E181">
        <v>1</v>
      </c>
      <c r="F181" t="s">
        <v>1795</v>
      </c>
      <c r="G181" t="s">
        <v>54</v>
      </c>
      <c r="H181" t="s">
        <v>1407</v>
      </c>
      <c r="I181" t="s">
        <v>36</v>
      </c>
      <c r="J181">
        <v>18</v>
      </c>
      <c r="K181">
        <v>0</v>
      </c>
      <c r="L181" t="s">
        <v>5</v>
      </c>
      <c r="M181" t="s">
        <v>37</v>
      </c>
      <c r="N181" t="s">
        <v>1409</v>
      </c>
      <c r="O181" t="s">
        <v>1796</v>
      </c>
      <c r="P181" t="s">
        <v>37</v>
      </c>
    </row>
    <row r="182" spans="1:16" x14ac:dyDescent="0.25">
      <c r="A182" s="1" t="s">
        <v>111</v>
      </c>
      <c r="B182" t="s">
        <v>31</v>
      </c>
      <c r="C182" t="str">
        <f t="shared" si="5"/>
        <v>SZW3_S2</v>
      </c>
      <c r="D182" t="s">
        <v>1794</v>
      </c>
      <c r="E182">
        <v>2</v>
      </c>
      <c r="F182" t="s">
        <v>1795</v>
      </c>
      <c r="G182" t="s">
        <v>49</v>
      </c>
      <c r="H182" t="s">
        <v>1407</v>
      </c>
      <c r="I182" t="s">
        <v>36</v>
      </c>
      <c r="J182">
        <v>18</v>
      </c>
      <c r="K182">
        <v>250</v>
      </c>
      <c r="L182" t="s">
        <v>5</v>
      </c>
      <c r="M182" t="s">
        <v>37</v>
      </c>
      <c r="N182" t="s">
        <v>1797</v>
      </c>
      <c r="O182" t="s">
        <v>1796</v>
      </c>
      <c r="P182" t="s">
        <v>37</v>
      </c>
    </row>
    <row r="183" spans="1:16" x14ac:dyDescent="0.25">
      <c r="A183" s="1" t="s">
        <v>111</v>
      </c>
      <c r="B183" t="s">
        <v>31</v>
      </c>
      <c r="C183" t="str">
        <f t="shared" si="5"/>
        <v>SZW4_S1</v>
      </c>
      <c r="D183" t="s">
        <v>1798</v>
      </c>
      <c r="E183">
        <v>1</v>
      </c>
      <c r="F183" t="s">
        <v>1799</v>
      </c>
      <c r="G183" t="s">
        <v>54</v>
      </c>
      <c r="H183" t="s">
        <v>1407</v>
      </c>
      <c r="I183" t="s">
        <v>36</v>
      </c>
      <c r="J183">
        <v>19</v>
      </c>
      <c r="K183">
        <v>0</v>
      </c>
      <c r="L183" t="s">
        <v>5</v>
      </c>
      <c r="M183" t="s">
        <v>37</v>
      </c>
      <c r="N183" t="s">
        <v>1409</v>
      </c>
      <c r="O183" t="s">
        <v>1800</v>
      </c>
      <c r="P183" t="s">
        <v>37</v>
      </c>
    </row>
    <row r="184" spans="1:16" x14ac:dyDescent="0.25">
      <c r="A184" s="1" t="s">
        <v>111</v>
      </c>
      <c r="B184" t="s">
        <v>31</v>
      </c>
      <c r="C184" t="str">
        <f t="shared" si="5"/>
        <v>SZW4_S2</v>
      </c>
      <c r="D184" t="s">
        <v>1798</v>
      </c>
      <c r="E184">
        <v>2</v>
      </c>
      <c r="F184" t="s">
        <v>1799</v>
      </c>
      <c r="G184" t="s">
        <v>49</v>
      </c>
      <c r="H184" t="s">
        <v>1407</v>
      </c>
      <c r="I184" t="s">
        <v>36</v>
      </c>
      <c r="J184">
        <v>19</v>
      </c>
      <c r="K184">
        <v>250</v>
      </c>
      <c r="L184" t="s">
        <v>5</v>
      </c>
      <c r="M184" t="s">
        <v>37</v>
      </c>
      <c r="N184" t="s">
        <v>1801</v>
      </c>
      <c r="O184" t="s">
        <v>1800</v>
      </c>
      <c r="P184" t="s">
        <v>37</v>
      </c>
    </row>
    <row r="185" spans="1:16" x14ac:dyDescent="0.25">
      <c r="A185" s="1" t="s">
        <v>111</v>
      </c>
      <c r="B185" t="s">
        <v>31</v>
      </c>
      <c r="C185" t="str">
        <f t="shared" si="5"/>
        <v>SZW5_S1</v>
      </c>
      <c r="D185" t="s">
        <v>1802</v>
      </c>
      <c r="E185">
        <v>1</v>
      </c>
      <c r="F185" t="s">
        <v>1803</v>
      </c>
      <c r="G185" t="s">
        <v>54</v>
      </c>
      <c r="H185" t="s">
        <v>1407</v>
      </c>
      <c r="I185" t="s">
        <v>36</v>
      </c>
      <c r="J185">
        <v>22</v>
      </c>
      <c r="K185">
        <v>0</v>
      </c>
      <c r="L185" t="s">
        <v>5</v>
      </c>
      <c r="M185" t="s">
        <v>37</v>
      </c>
      <c r="N185" t="s">
        <v>1409</v>
      </c>
      <c r="O185" t="s">
        <v>1804</v>
      </c>
      <c r="P185" t="s">
        <v>37</v>
      </c>
    </row>
    <row r="186" spans="1:16" x14ac:dyDescent="0.25">
      <c r="A186" s="1" t="s">
        <v>111</v>
      </c>
      <c r="B186" t="s">
        <v>31</v>
      </c>
      <c r="C186" t="str">
        <f t="shared" si="5"/>
        <v>SZW5_S2</v>
      </c>
      <c r="D186" t="s">
        <v>1802</v>
      </c>
      <c r="E186">
        <v>2</v>
      </c>
      <c r="F186" t="s">
        <v>1803</v>
      </c>
      <c r="G186" t="s">
        <v>49</v>
      </c>
      <c r="H186" t="s">
        <v>1407</v>
      </c>
      <c r="I186" t="s">
        <v>36</v>
      </c>
      <c r="J186">
        <v>22</v>
      </c>
      <c r="K186">
        <v>50</v>
      </c>
      <c r="L186" t="s">
        <v>5</v>
      </c>
      <c r="M186" t="s">
        <v>37</v>
      </c>
      <c r="N186" t="s">
        <v>1805</v>
      </c>
      <c r="O186" t="s">
        <v>1804</v>
      </c>
      <c r="P186" t="s">
        <v>37</v>
      </c>
    </row>
    <row r="187" spans="1:16" x14ac:dyDescent="0.25">
      <c r="A187" s="1" t="s">
        <v>111</v>
      </c>
      <c r="B187" t="s">
        <v>31</v>
      </c>
      <c r="C187" t="str">
        <f t="shared" si="5"/>
        <v>SZW6_S1</v>
      </c>
      <c r="D187" t="s">
        <v>1806</v>
      </c>
      <c r="E187">
        <v>1</v>
      </c>
      <c r="F187" t="s">
        <v>1807</v>
      </c>
      <c r="G187" t="s">
        <v>54</v>
      </c>
      <c r="H187" t="s">
        <v>1407</v>
      </c>
      <c r="I187" t="s">
        <v>36</v>
      </c>
      <c r="J187">
        <v>27</v>
      </c>
      <c r="K187">
        <v>0</v>
      </c>
      <c r="L187" t="s">
        <v>5</v>
      </c>
      <c r="M187" t="s">
        <v>37</v>
      </c>
      <c r="N187" t="s">
        <v>1409</v>
      </c>
      <c r="O187" t="s">
        <v>1808</v>
      </c>
      <c r="P187" t="s">
        <v>37</v>
      </c>
    </row>
    <row r="188" spans="1:16" x14ac:dyDescent="0.25">
      <c r="A188" s="1" t="s">
        <v>111</v>
      </c>
      <c r="B188" t="s">
        <v>31</v>
      </c>
      <c r="C188" t="str">
        <f t="shared" si="5"/>
        <v>SZW6_S2a</v>
      </c>
      <c r="D188" t="s">
        <v>1806</v>
      </c>
      <c r="E188" t="s">
        <v>72</v>
      </c>
      <c r="F188" t="s">
        <v>1807</v>
      </c>
      <c r="G188" t="s">
        <v>1809</v>
      </c>
      <c r="H188" t="s">
        <v>1407</v>
      </c>
      <c r="I188" t="s">
        <v>36</v>
      </c>
      <c r="J188">
        <v>27</v>
      </c>
      <c r="K188">
        <v>100</v>
      </c>
      <c r="L188" t="s">
        <v>5</v>
      </c>
      <c r="M188" t="s">
        <v>37</v>
      </c>
      <c r="N188" t="s">
        <v>1810</v>
      </c>
      <c r="O188" t="s">
        <v>1808</v>
      </c>
      <c r="P188" t="s">
        <v>1811</v>
      </c>
    </row>
    <row r="189" spans="1:16" x14ac:dyDescent="0.25">
      <c r="A189" s="1" t="s">
        <v>111</v>
      </c>
      <c r="B189" t="s">
        <v>31</v>
      </c>
      <c r="C189" t="str">
        <f t="shared" si="5"/>
        <v>SZW6_S2b</v>
      </c>
      <c r="D189" t="s">
        <v>1806</v>
      </c>
      <c r="E189" t="s">
        <v>75</v>
      </c>
      <c r="F189" t="s">
        <v>1807</v>
      </c>
      <c r="G189" t="s">
        <v>1812</v>
      </c>
      <c r="H189" t="s">
        <v>1407</v>
      </c>
      <c r="I189" t="s">
        <v>36</v>
      </c>
      <c r="J189">
        <v>27</v>
      </c>
      <c r="K189">
        <v>200</v>
      </c>
      <c r="L189" t="s">
        <v>5</v>
      </c>
      <c r="M189" t="s">
        <v>37</v>
      </c>
      <c r="N189" t="s">
        <v>1810</v>
      </c>
      <c r="O189" t="s">
        <v>1808</v>
      </c>
      <c r="P189" t="s">
        <v>1813</v>
      </c>
    </row>
    <row r="190" spans="1:16" x14ac:dyDescent="0.25">
      <c r="A190" s="1" t="s">
        <v>111</v>
      </c>
      <c r="B190" t="s">
        <v>31</v>
      </c>
      <c r="C190" t="str">
        <f t="shared" si="5"/>
        <v>SZW7_S1</v>
      </c>
      <c r="D190" t="s">
        <v>1814</v>
      </c>
      <c r="E190">
        <v>1</v>
      </c>
      <c r="F190" t="s">
        <v>1815</v>
      </c>
      <c r="G190" t="s">
        <v>54</v>
      </c>
      <c r="H190" t="s">
        <v>1407</v>
      </c>
      <c r="I190" t="s">
        <v>36</v>
      </c>
      <c r="J190">
        <v>28</v>
      </c>
      <c r="K190">
        <v>0</v>
      </c>
      <c r="L190" t="s">
        <v>5</v>
      </c>
      <c r="M190" t="s">
        <v>37</v>
      </c>
      <c r="N190" t="s">
        <v>1409</v>
      </c>
      <c r="O190" t="s">
        <v>1816</v>
      </c>
      <c r="P190" t="s">
        <v>37</v>
      </c>
    </row>
    <row r="191" spans="1:16" x14ac:dyDescent="0.25">
      <c r="A191" s="1" t="s">
        <v>111</v>
      </c>
      <c r="B191" t="s">
        <v>31</v>
      </c>
      <c r="C191" t="str">
        <f t="shared" si="5"/>
        <v>SZW7_S2</v>
      </c>
      <c r="D191" t="s">
        <v>1814</v>
      </c>
      <c r="E191">
        <v>2</v>
      </c>
      <c r="F191" t="s">
        <v>1815</v>
      </c>
      <c r="G191" t="s">
        <v>49</v>
      </c>
      <c r="H191" t="s">
        <v>1407</v>
      </c>
      <c r="I191" t="s">
        <v>36</v>
      </c>
      <c r="J191">
        <v>28</v>
      </c>
      <c r="K191">
        <v>350</v>
      </c>
      <c r="L191" t="s">
        <v>5</v>
      </c>
      <c r="M191" t="s">
        <v>37</v>
      </c>
      <c r="N191" t="s">
        <v>1817</v>
      </c>
      <c r="O191" t="s">
        <v>1816</v>
      </c>
      <c r="P191" t="s">
        <v>37</v>
      </c>
    </row>
    <row r="192" spans="1:16" x14ac:dyDescent="0.25">
      <c r="A192" s="1" t="s">
        <v>111</v>
      </c>
      <c r="B192" t="s">
        <v>31</v>
      </c>
      <c r="C192" t="str">
        <f t="shared" si="5"/>
        <v>SZW8_S1</v>
      </c>
      <c r="D192" t="s">
        <v>1818</v>
      </c>
      <c r="E192">
        <v>1</v>
      </c>
      <c r="F192" t="s">
        <v>1819</v>
      </c>
      <c r="G192" t="s">
        <v>54</v>
      </c>
      <c r="H192" t="s">
        <v>1407</v>
      </c>
      <c r="I192" t="s">
        <v>36</v>
      </c>
      <c r="J192">
        <v>29</v>
      </c>
      <c r="K192">
        <v>0</v>
      </c>
      <c r="L192" t="s">
        <v>5</v>
      </c>
      <c r="M192" t="s">
        <v>37</v>
      </c>
      <c r="N192" t="s">
        <v>1409</v>
      </c>
      <c r="O192" t="s">
        <v>1820</v>
      </c>
      <c r="P192" t="s">
        <v>37</v>
      </c>
    </row>
    <row r="193" spans="1:16" x14ac:dyDescent="0.25">
      <c r="A193" s="1" t="s">
        <v>111</v>
      </c>
      <c r="B193" t="s">
        <v>31</v>
      </c>
      <c r="C193" t="str">
        <f t="shared" si="5"/>
        <v>SZW8_S2a</v>
      </c>
      <c r="D193" t="s">
        <v>1818</v>
      </c>
      <c r="E193" t="s">
        <v>72</v>
      </c>
      <c r="F193" t="s">
        <v>1819</v>
      </c>
      <c r="G193" t="s">
        <v>1821</v>
      </c>
      <c r="H193" t="s">
        <v>1407</v>
      </c>
      <c r="I193" t="s">
        <v>36</v>
      </c>
      <c r="J193">
        <v>29</v>
      </c>
      <c r="K193">
        <v>100</v>
      </c>
      <c r="L193" t="s">
        <v>5</v>
      </c>
      <c r="M193" t="s">
        <v>37</v>
      </c>
      <c r="N193" t="s">
        <v>1822</v>
      </c>
      <c r="O193" t="s">
        <v>1820</v>
      </c>
      <c r="P193" t="s">
        <v>1823</v>
      </c>
    </row>
    <row r="194" spans="1:16" x14ac:dyDescent="0.25">
      <c r="A194" s="1" t="s">
        <v>111</v>
      </c>
      <c r="B194" t="s">
        <v>31</v>
      </c>
      <c r="C194" t="str">
        <f t="shared" ref="C194:C225" si="6">_xlfn.CONCAT(D194,"_S",E194)</f>
        <v>SZW8_S2b</v>
      </c>
      <c r="D194" t="s">
        <v>1818</v>
      </c>
      <c r="E194" t="s">
        <v>75</v>
      </c>
      <c r="F194" t="s">
        <v>1819</v>
      </c>
      <c r="G194" t="s">
        <v>1824</v>
      </c>
      <c r="H194" t="s">
        <v>1407</v>
      </c>
      <c r="I194" t="s">
        <v>36</v>
      </c>
      <c r="J194">
        <v>29</v>
      </c>
      <c r="K194">
        <v>200</v>
      </c>
      <c r="L194" t="s">
        <v>5</v>
      </c>
      <c r="M194" t="s">
        <v>37</v>
      </c>
      <c r="N194" t="s">
        <v>1822</v>
      </c>
      <c r="O194" t="s">
        <v>1820</v>
      </c>
      <c r="P194" t="s">
        <v>1825</v>
      </c>
    </row>
    <row r="195" spans="1:16" x14ac:dyDescent="0.25">
      <c r="A195" s="1" t="s">
        <v>111</v>
      </c>
      <c r="B195" t="s">
        <v>31</v>
      </c>
      <c r="C195" t="str">
        <f t="shared" si="6"/>
        <v>SZW9_S1</v>
      </c>
      <c r="D195" t="s">
        <v>1826</v>
      </c>
      <c r="E195">
        <v>1</v>
      </c>
      <c r="F195" t="s">
        <v>1827</v>
      </c>
      <c r="G195" t="s">
        <v>54</v>
      </c>
      <c r="H195" t="s">
        <v>1407</v>
      </c>
      <c r="I195" t="s">
        <v>36</v>
      </c>
      <c r="J195">
        <v>29</v>
      </c>
      <c r="K195">
        <v>0</v>
      </c>
      <c r="L195" t="s">
        <v>5</v>
      </c>
      <c r="M195" t="s">
        <v>37</v>
      </c>
      <c r="N195" t="s">
        <v>1409</v>
      </c>
      <c r="O195" t="s">
        <v>1828</v>
      </c>
      <c r="P195" t="s">
        <v>37</v>
      </c>
    </row>
    <row r="196" spans="1:16" x14ac:dyDescent="0.25">
      <c r="A196" s="1" t="s">
        <v>111</v>
      </c>
      <c r="B196" t="s">
        <v>31</v>
      </c>
      <c r="C196" t="str">
        <f t="shared" si="6"/>
        <v>SZW9_S2</v>
      </c>
      <c r="D196" t="s">
        <v>1826</v>
      </c>
      <c r="E196">
        <v>2</v>
      </c>
      <c r="F196" t="s">
        <v>1827</v>
      </c>
      <c r="G196" t="s">
        <v>49</v>
      </c>
      <c r="H196" t="s">
        <v>1407</v>
      </c>
      <c r="I196" t="s">
        <v>36</v>
      </c>
      <c r="J196">
        <v>29</v>
      </c>
      <c r="K196">
        <v>300</v>
      </c>
      <c r="L196" t="s">
        <v>5</v>
      </c>
      <c r="M196" t="s">
        <v>37</v>
      </c>
      <c r="N196" t="s">
        <v>1829</v>
      </c>
      <c r="O196" t="s">
        <v>1828</v>
      </c>
      <c r="P196" t="s">
        <v>37</v>
      </c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"/>
  <sheetViews>
    <sheetView workbookViewId="0">
      <selection activeCell="O23" sqref="O23"/>
    </sheetView>
  </sheetViews>
  <sheetFormatPr defaultRowHeight="15" x14ac:dyDescent="0.25"/>
  <cols>
    <col min="1" max="1" width="17.28515625" bestFit="1" customWidth="1"/>
    <col min="2" max="2" width="9.5703125" bestFit="1" customWidth="1"/>
    <col min="3" max="3" width="12.7109375" bestFit="1" customWidth="1"/>
    <col min="4" max="5" width="10.42578125" customWidth="1"/>
    <col min="6" max="6" width="24.42578125" bestFit="1" customWidth="1"/>
    <col min="7" max="7" width="24.42578125" customWidth="1"/>
    <col min="9" max="9" width="26.42578125" bestFit="1" customWidth="1"/>
    <col min="15" max="16" width="18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0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25">
      <c r="A2" t="s">
        <v>30</v>
      </c>
      <c r="B2" t="s">
        <v>31</v>
      </c>
      <c r="C2" t="str">
        <f t="shared" ref="C2:C35" si="0">_xlfn.CONCAT(D2,"_S",E2)</f>
        <v>KMF1NA_S1</v>
      </c>
      <c r="D2" t="s">
        <v>1830</v>
      </c>
      <c r="E2">
        <v>1</v>
      </c>
      <c r="F2" t="s">
        <v>1831</v>
      </c>
      <c r="G2" t="s">
        <v>54</v>
      </c>
      <c r="H2" t="s">
        <v>1832</v>
      </c>
      <c r="I2" t="s">
        <v>36</v>
      </c>
      <c r="J2">
        <v>15</v>
      </c>
      <c r="K2">
        <v>0</v>
      </c>
      <c r="L2" t="s">
        <v>5</v>
      </c>
      <c r="M2" t="s">
        <v>37</v>
      </c>
      <c r="N2" t="s">
        <v>132</v>
      </c>
      <c r="O2" t="s">
        <v>1833</v>
      </c>
      <c r="P2" t="s">
        <v>37</v>
      </c>
    </row>
    <row r="3" spans="1:16" x14ac:dyDescent="0.25">
      <c r="A3" t="s">
        <v>30</v>
      </c>
      <c r="B3" t="s">
        <v>31</v>
      </c>
      <c r="C3" t="str">
        <f t="shared" si="0"/>
        <v>KMF1NA_S2</v>
      </c>
      <c r="D3" t="s">
        <v>1830</v>
      </c>
      <c r="E3">
        <v>2</v>
      </c>
      <c r="F3" t="s">
        <v>1831</v>
      </c>
      <c r="G3" t="s">
        <v>49</v>
      </c>
      <c r="H3" t="s">
        <v>1832</v>
      </c>
      <c r="I3" t="s">
        <v>36</v>
      </c>
      <c r="J3">
        <v>15</v>
      </c>
      <c r="K3">
        <v>600</v>
      </c>
      <c r="L3" t="s">
        <v>5</v>
      </c>
      <c r="M3" t="s">
        <v>37</v>
      </c>
      <c r="N3" t="s">
        <v>1834</v>
      </c>
      <c r="O3" t="s">
        <v>1833</v>
      </c>
      <c r="P3" t="s">
        <v>37</v>
      </c>
    </row>
    <row r="4" spans="1:16" x14ac:dyDescent="0.25">
      <c r="A4" t="s">
        <v>30</v>
      </c>
      <c r="B4" t="s">
        <v>31</v>
      </c>
      <c r="C4" t="str">
        <f t="shared" si="0"/>
        <v>KMF2_S1</v>
      </c>
      <c r="D4" t="s">
        <v>1835</v>
      </c>
      <c r="E4">
        <v>1</v>
      </c>
      <c r="F4" t="s">
        <v>1836</v>
      </c>
      <c r="G4" t="s">
        <v>54</v>
      </c>
      <c r="H4" t="s">
        <v>1832</v>
      </c>
      <c r="I4" t="s">
        <v>36</v>
      </c>
      <c r="J4">
        <v>19</v>
      </c>
      <c r="K4">
        <v>0</v>
      </c>
      <c r="L4" t="s">
        <v>5</v>
      </c>
      <c r="M4" t="s">
        <v>37</v>
      </c>
      <c r="N4" t="s">
        <v>1837</v>
      </c>
      <c r="O4" t="s">
        <v>1838</v>
      </c>
      <c r="P4" t="s">
        <v>37</v>
      </c>
    </row>
    <row r="5" spans="1:16" x14ac:dyDescent="0.25">
      <c r="A5" t="s">
        <v>30</v>
      </c>
      <c r="B5" t="s">
        <v>31</v>
      </c>
      <c r="C5" t="str">
        <f t="shared" si="0"/>
        <v>KMF2_S2</v>
      </c>
      <c r="D5" t="s">
        <v>1835</v>
      </c>
      <c r="E5">
        <v>2</v>
      </c>
      <c r="F5" t="s">
        <v>1836</v>
      </c>
      <c r="G5" t="s">
        <v>49</v>
      </c>
      <c r="H5" t="s">
        <v>1832</v>
      </c>
      <c r="I5" t="s">
        <v>36</v>
      </c>
      <c r="J5">
        <v>19</v>
      </c>
      <c r="K5">
        <v>500</v>
      </c>
      <c r="L5" t="s">
        <v>5</v>
      </c>
      <c r="M5" t="s">
        <v>37</v>
      </c>
      <c r="N5" t="s">
        <v>1839</v>
      </c>
      <c r="O5" t="s">
        <v>1838</v>
      </c>
      <c r="P5" t="s">
        <v>37</v>
      </c>
    </row>
    <row r="6" spans="1:16" x14ac:dyDescent="0.25">
      <c r="A6" t="s">
        <v>30</v>
      </c>
      <c r="B6" t="s">
        <v>31</v>
      </c>
      <c r="C6" t="str">
        <f t="shared" si="0"/>
        <v>KMF3_S1</v>
      </c>
      <c r="D6" t="s">
        <v>1840</v>
      </c>
      <c r="E6">
        <v>1</v>
      </c>
      <c r="F6" t="s">
        <v>1841</v>
      </c>
      <c r="G6" t="s">
        <v>54</v>
      </c>
      <c r="H6" t="s">
        <v>1832</v>
      </c>
      <c r="I6" t="s">
        <v>36</v>
      </c>
      <c r="J6">
        <v>19</v>
      </c>
      <c r="K6">
        <v>0</v>
      </c>
      <c r="L6" t="s">
        <v>5</v>
      </c>
      <c r="M6" t="s">
        <v>37</v>
      </c>
      <c r="N6" t="s">
        <v>1842</v>
      </c>
      <c r="O6" t="s">
        <v>1843</v>
      </c>
      <c r="P6" t="s">
        <v>37</v>
      </c>
    </row>
    <row r="7" spans="1:16" x14ac:dyDescent="0.25">
      <c r="A7" t="s">
        <v>30</v>
      </c>
      <c r="B7" t="s">
        <v>31</v>
      </c>
      <c r="C7" t="str">
        <f t="shared" si="0"/>
        <v>KMF3_S2a</v>
      </c>
      <c r="D7" t="s">
        <v>1840</v>
      </c>
      <c r="E7" t="s">
        <v>72</v>
      </c>
      <c r="F7" t="s">
        <v>1841</v>
      </c>
      <c r="G7" t="s">
        <v>1844</v>
      </c>
      <c r="H7" t="s">
        <v>1832</v>
      </c>
      <c r="I7" t="s">
        <v>36</v>
      </c>
      <c r="J7">
        <v>19</v>
      </c>
      <c r="K7">
        <v>200</v>
      </c>
      <c r="L7" t="s">
        <v>5</v>
      </c>
      <c r="M7" t="s">
        <v>37</v>
      </c>
      <c r="N7" t="s">
        <v>1845</v>
      </c>
      <c r="O7" t="s">
        <v>1843</v>
      </c>
      <c r="P7" t="s">
        <v>1846</v>
      </c>
    </row>
    <row r="8" spans="1:16" x14ac:dyDescent="0.25">
      <c r="A8" t="s">
        <v>30</v>
      </c>
      <c r="B8" t="s">
        <v>31</v>
      </c>
      <c r="C8" t="str">
        <f t="shared" si="0"/>
        <v>KMF3_S2b</v>
      </c>
      <c r="D8" t="s">
        <v>1840</v>
      </c>
      <c r="E8" t="s">
        <v>75</v>
      </c>
      <c r="F8" t="s">
        <v>1841</v>
      </c>
      <c r="G8" t="s">
        <v>1847</v>
      </c>
      <c r="H8" t="s">
        <v>1832</v>
      </c>
      <c r="I8" t="s">
        <v>36</v>
      </c>
      <c r="J8">
        <v>19</v>
      </c>
      <c r="K8">
        <v>0</v>
      </c>
      <c r="L8" t="s">
        <v>5</v>
      </c>
      <c r="M8" t="s">
        <v>37</v>
      </c>
      <c r="N8" t="s">
        <v>1845</v>
      </c>
      <c r="O8" t="s">
        <v>1843</v>
      </c>
      <c r="P8" t="s">
        <v>1848</v>
      </c>
    </row>
    <row r="9" spans="1:16" x14ac:dyDescent="0.25">
      <c r="A9" t="s">
        <v>30</v>
      </c>
      <c r="B9" t="s">
        <v>31</v>
      </c>
      <c r="C9" t="str">
        <f t="shared" si="0"/>
        <v>KMF3_S3</v>
      </c>
      <c r="D9" t="s">
        <v>1840</v>
      </c>
      <c r="E9">
        <v>3</v>
      </c>
      <c r="F9" t="s">
        <v>1841</v>
      </c>
      <c r="G9" t="s">
        <v>49</v>
      </c>
      <c r="H9" t="s">
        <v>1832</v>
      </c>
      <c r="I9" t="s">
        <v>36</v>
      </c>
      <c r="J9">
        <v>19</v>
      </c>
      <c r="K9">
        <v>600</v>
      </c>
      <c r="L9" t="s">
        <v>5</v>
      </c>
      <c r="M9" t="s">
        <v>37</v>
      </c>
      <c r="N9" t="s">
        <v>1849</v>
      </c>
      <c r="O9" t="s">
        <v>37</v>
      </c>
      <c r="P9" t="s">
        <v>37</v>
      </c>
    </row>
    <row r="10" spans="1:16" x14ac:dyDescent="0.25">
      <c r="A10" t="s">
        <v>30</v>
      </c>
      <c r="B10" t="s">
        <v>31</v>
      </c>
      <c r="C10" t="str">
        <f t="shared" si="0"/>
        <v>KMF4_S1</v>
      </c>
      <c r="D10" t="s">
        <v>1850</v>
      </c>
      <c r="E10">
        <v>1</v>
      </c>
      <c r="F10" t="s">
        <v>1851</v>
      </c>
      <c r="G10" t="s">
        <v>54</v>
      </c>
      <c r="H10" t="s">
        <v>1832</v>
      </c>
      <c r="I10" t="s">
        <v>36</v>
      </c>
      <c r="J10">
        <v>19</v>
      </c>
      <c r="K10">
        <v>0</v>
      </c>
      <c r="L10" t="s">
        <v>5</v>
      </c>
      <c r="M10" t="s">
        <v>37</v>
      </c>
      <c r="N10" t="s">
        <v>1852</v>
      </c>
      <c r="O10" t="s">
        <v>1853</v>
      </c>
      <c r="P10" t="s">
        <v>37</v>
      </c>
    </row>
    <row r="11" spans="1:16" x14ac:dyDescent="0.25">
      <c r="A11" t="s">
        <v>30</v>
      </c>
      <c r="B11" t="s">
        <v>31</v>
      </c>
      <c r="C11" t="str">
        <f t="shared" si="0"/>
        <v>KMF4_S2</v>
      </c>
      <c r="D11" t="s">
        <v>1850</v>
      </c>
      <c r="E11">
        <v>2</v>
      </c>
      <c r="F11" t="s">
        <v>1851</v>
      </c>
      <c r="G11" t="s">
        <v>1854</v>
      </c>
      <c r="H11" t="s">
        <v>1832</v>
      </c>
      <c r="I11" t="s">
        <v>36</v>
      </c>
      <c r="J11">
        <v>19</v>
      </c>
      <c r="K11">
        <v>500</v>
      </c>
      <c r="L11" t="s">
        <v>5</v>
      </c>
      <c r="M11" t="s">
        <v>37</v>
      </c>
      <c r="N11" t="s">
        <v>1855</v>
      </c>
      <c r="O11" t="s">
        <v>1853</v>
      </c>
      <c r="P11" t="s">
        <v>37</v>
      </c>
    </row>
    <row r="12" spans="1:16" x14ac:dyDescent="0.25">
      <c r="A12" t="s">
        <v>30</v>
      </c>
      <c r="B12" t="s">
        <v>31</v>
      </c>
      <c r="C12" t="str">
        <f t="shared" si="0"/>
        <v>KMF5_S1</v>
      </c>
      <c r="D12" t="s">
        <v>1856</v>
      </c>
      <c r="E12">
        <v>1</v>
      </c>
      <c r="F12" t="s">
        <v>1857</v>
      </c>
      <c r="G12" t="s">
        <v>54</v>
      </c>
      <c r="H12" t="s">
        <v>1832</v>
      </c>
      <c r="I12" t="s">
        <v>36</v>
      </c>
      <c r="J12">
        <v>19</v>
      </c>
      <c r="K12">
        <v>0</v>
      </c>
      <c r="L12" t="s">
        <v>5</v>
      </c>
      <c r="M12" t="s">
        <v>37</v>
      </c>
      <c r="N12" t="s">
        <v>1858</v>
      </c>
      <c r="O12" t="s">
        <v>1859</v>
      </c>
      <c r="P12" t="s">
        <v>37</v>
      </c>
    </row>
    <row r="13" spans="1:16" x14ac:dyDescent="0.25">
      <c r="A13" t="s">
        <v>30</v>
      </c>
      <c r="B13" t="s">
        <v>31</v>
      </c>
      <c r="C13" t="str">
        <f t="shared" si="0"/>
        <v>KMF5_S2</v>
      </c>
      <c r="D13" t="s">
        <v>1856</v>
      </c>
      <c r="E13">
        <v>2</v>
      </c>
      <c r="F13" t="s">
        <v>1857</v>
      </c>
      <c r="G13" t="s">
        <v>49</v>
      </c>
      <c r="H13" t="s">
        <v>1832</v>
      </c>
      <c r="I13" t="s">
        <v>36</v>
      </c>
      <c r="J13">
        <v>19</v>
      </c>
      <c r="K13">
        <v>1500</v>
      </c>
      <c r="L13" t="s">
        <v>5</v>
      </c>
      <c r="M13" t="s">
        <v>37</v>
      </c>
      <c r="N13" t="s">
        <v>1860</v>
      </c>
      <c r="O13" t="s">
        <v>1859</v>
      </c>
      <c r="P13" t="s">
        <v>37</v>
      </c>
    </row>
    <row r="14" spans="1:16" x14ac:dyDescent="0.25">
      <c r="A14" t="s">
        <v>30</v>
      </c>
      <c r="B14" t="s">
        <v>31</v>
      </c>
      <c r="C14" t="str">
        <f t="shared" si="0"/>
        <v>KMF6_S1</v>
      </c>
      <c r="D14" t="s">
        <v>1861</v>
      </c>
      <c r="E14">
        <v>1</v>
      </c>
      <c r="F14" t="s">
        <v>1862</v>
      </c>
      <c r="G14" t="s">
        <v>54</v>
      </c>
      <c r="H14" t="s">
        <v>1832</v>
      </c>
      <c r="I14" t="s">
        <v>36</v>
      </c>
      <c r="J14">
        <v>24</v>
      </c>
      <c r="K14">
        <v>0</v>
      </c>
      <c r="L14" t="s">
        <v>5</v>
      </c>
      <c r="M14" t="s">
        <v>37</v>
      </c>
      <c r="N14" t="s">
        <v>1863</v>
      </c>
      <c r="O14" t="s">
        <v>261</v>
      </c>
      <c r="P14" t="s">
        <v>37</v>
      </c>
    </row>
    <row r="15" spans="1:16" x14ac:dyDescent="0.25">
      <c r="A15" t="s">
        <v>30</v>
      </c>
      <c r="B15" t="s">
        <v>31</v>
      </c>
      <c r="C15" t="str">
        <f t="shared" si="0"/>
        <v>KMF6_S2</v>
      </c>
      <c r="D15" t="s">
        <v>1861</v>
      </c>
      <c r="E15">
        <v>2</v>
      </c>
      <c r="F15" t="s">
        <v>1862</v>
      </c>
      <c r="G15" t="s">
        <v>1864</v>
      </c>
      <c r="H15" t="s">
        <v>1832</v>
      </c>
      <c r="I15" t="s">
        <v>36</v>
      </c>
      <c r="J15">
        <v>24</v>
      </c>
      <c r="K15">
        <v>1000</v>
      </c>
      <c r="L15" t="s">
        <v>5</v>
      </c>
      <c r="M15" t="s">
        <v>37</v>
      </c>
      <c r="N15" t="s">
        <v>1865</v>
      </c>
      <c r="O15" t="s">
        <v>261</v>
      </c>
      <c r="P15" t="s">
        <v>37</v>
      </c>
    </row>
    <row r="16" spans="1:16" x14ac:dyDescent="0.25">
      <c r="A16" t="s">
        <v>30</v>
      </c>
      <c r="B16" t="s">
        <v>31</v>
      </c>
      <c r="C16" t="str">
        <f t="shared" si="0"/>
        <v>KMF6_S3</v>
      </c>
      <c r="D16" t="s">
        <v>1861</v>
      </c>
      <c r="E16">
        <v>3</v>
      </c>
      <c r="F16" t="s">
        <v>1862</v>
      </c>
      <c r="G16" t="s">
        <v>1866</v>
      </c>
      <c r="H16" t="s">
        <v>1832</v>
      </c>
      <c r="I16" t="s">
        <v>36</v>
      </c>
      <c r="J16">
        <v>24</v>
      </c>
      <c r="K16">
        <v>50</v>
      </c>
      <c r="L16" t="s">
        <v>5</v>
      </c>
      <c r="M16" t="s">
        <v>37</v>
      </c>
      <c r="N16" t="s">
        <v>1867</v>
      </c>
      <c r="O16" t="s">
        <v>261</v>
      </c>
      <c r="P16" t="s">
        <v>37</v>
      </c>
    </row>
    <row r="17" spans="1:16" x14ac:dyDescent="0.25">
      <c r="A17" t="s">
        <v>30</v>
      </c>
      <c r="B17" t="s">
        <v>31</v>
      </c>
      <c r="C17" t="str">
        <f t="shared" si="0"/>
        <v>KMF6_S4</v>
      </c>
      <c r="D17" t="s">
        <v>1861</v>
      </c>
      <c r="E17">
        <v>4</v>
      </c>
      <c r="F17" t="s">
        <v>1862</v>
      </c>
      <c r="G17" t="s">
        <v>1868</v>
      </c>
      <c r="H17" t="s">
        <v>1832</v>
      </c>
      <c r="I17" t="s">
        <v>36</v>
      </c>
      <c r="J17">
        <v>24</v>
      </c>
      <c r="K17">
        <v>500</v>
      </c>
      <c r="L17" t="s">
        <v>5</v>
      </c>
      <c r="M17" t="s">
        <v>37</v>
      </c>
      <c r="N17" t="s">
        <v>1869</v>
      </c>
      <c r="O17" t="s">
        <v>261</v>
      </c>
      <c r="P17" t="s">
        <v>37</v>
      </c>
    </row>
    <row r="18" spans="1:16" x14ac:dyDescent="0.25">
      <c r="A18" t="s">
        <v>30</v>
      </c>
      <c r="B18" t="s">
        <v>31</v>
      </c>
      <c r="C18" t="str">
        <f t="shared" si="0"/>
        <v>KMF6_S5</v>
      </c>
      <c r="D18" t="s">
        <v>1861</v>
      </c>
      <c r="E18">
        <v>5</v>
      </c>
      <c r="F18" t="s">
        <v>1862</v>
      </c>
      <c r="G18" t="s">
        <v>1870</v>
      </c>
      <c r="H18" t="s">
        <v>1832</v>
      </c>
      <c r="I18" t="s">
        <v>36</v>
      </c>
      <c r="J18">
        <v>24</v>
      </c>
      <c r="K18">
        <v>200</v>
      </c>
      <c r="L18" t="s">
        <v>5</v>
      </c>
      <c r="M18" t="s">
        <v>37</v>
      </c>
      <c r="N18" t="s">
        <v>1871</v>
      </c>
      <c r="O18" t="s">
        <v>261</v>
      </c>
      <c r="P18" t="s">
        <v>37</v>
      </c>
    </row>
    <row r="19" spans="1:16" x14ac:dyDescent="0.25">
      <c r="A19" t="s">
        <v>30</v>
      </c>
      <c r="B19" t="s">
        <v>31</v>
      </c>
      <c r="C19" t="str">
        <f t="shared" si="0"/>
        <v>KMF6_S6</v>
      </c>
      <c r="D19" t="s">
        <v>1861</v>
      </c>
      <c r="E19">
        <v>6</v>
      </c>
      <c r="F19" t="s">
        <v>1862</v>
      </c>
      <c r="G19" t="s">
        <v>1872</v>
      </c>
      <c r="H19" t="s">
        <v>1832</v>
      </c>
      <c r="I19" t="s">
        <v>36</v>
      </c>
      <c r="J19">
        <v>24</v>
      </c>
      <c r="K19">
        <v>500</v>
      </c>
      <c r="L19" t="s">
        <v>5</v>
      </c>
      <c r="M19" t="s">
        <v>37</v>
      </c>
      <c r="N19" t="s">
        <v>1873</v>
      </c>
      <c r="O19" t="s">
        <v>261</v>
      </c>
      <c r="P19" t="s">
        <v>37</v>
      </c>
    </row>
    <row r="20" spans="1:16" x14ac:dyDescent="0.25">
      <c r="A20" t="s">
        <v>30</v>
      </c>
      <c r="B20" t="s">
        <v>31</v>
      </c>
      <c r="C20" t="str">
        <f t="shared" si="0"/>
        <v>KMF6_S7</v>
      </c>
      <c r="D20" t="s">
        <v>1861</v>
      </c>
      <c r="E20">
        <v>7</v>
      </c>
      <c r="F20" t="s">
        <v>1862</v>
      </c>
      <c r="G20" t="s">
        <v>1874</v>
      </c>
      <c r="H20" t="s">
        <v>1832</v>
      </c>
      <c r="I20" t="s">
        <v>36</v>
      </c>
      <c r="J20">
        <v>24</v>
      </c>
      <c r="K20">
        <v>500</v>
      </c>
      <c r="L20" t="s">
        <v>5</v>
      </c>
      <c r="M20" t="s">
        <v>37</v>
      </c>
      <c r="N20" t="s">
        <v>1875</v>
      </c>
      <c r="O20" t="s">
        <v>261</v>
      </c>
      <c r="P20" t="s">
        <v>37</v>
      </c>
    </row>
    <row r="21" spans="1:16" x14ac:dyDescent="0.25">
      <c r="A21" t="s">
        <v>30</v>
      </c>
      <c r="B21" t="s">
        <v>31</v>
      </c>
      <c r="C21" t="str">
        <f t="shared" si="0"/>
        <v>KMF6_S8</v>
      </c>
      <c r="D21" t="s">
        <v>1861</v>
      </c>
      <c r="E21">
        <v>8</v>
      </c>
      <c r="F21" t="s">
        <v>1862</v>
      </c>
      <c r="G21" t="s">
        <v>49</v>
      </c>
      <c r="H21" t="s">
        <v>1832</v>
      </c>
      <c r="I21" t="s">
        <v>36</v>
      </c>
      <c r="J21">
        <v>24</v>
      </c>
      <c r="K21">
        <v>1000</v>
      </c>
      <c r="L21" t="s">
        <v>5</v>
      </c>
      <c r="M21" t="s">
        <v>37</v>
      </c>
      <c r="N21" t="s">
        <v>1876</v>
      </c>
      <c r="O21" t="s">
        <v>261</v>
      </c>
      <c r="P21" t="s">
        <v>37</v>
      </c>
    </row>
    <row r="22" spans="1:16" x14ac:dyDescent="0.25">
      <c r="A22" t="s">
        <v>30</v>
      </c>
      <c r="B22" t="s">
        <v>31</v>
      </c>
      <c r="C22" t="str">
        <f t="shared" si="0"/>
        <v>KMF7_S1</v>
      </c>
      <c r="D22" t="s">
        <v>1877</v>
      </c>
      <c r="E22">
        <v>1</v>
      </c>
      <c r="F22" t="s">
        <v>1878</v>
      </c>
      <c r="G22" t="s">
        <v>54</v>
      </c>
      <c r="H22" t="s">
        <v>1832</v>
      </c>
      <c r="I22" t="s">
        <v>36</v>
      </c>
      <c r="J22">
        <v>20</v>
      </c>
      <c r="K22">
        <v>0</v>
      </c>
      <c r="L22" t="s">
        <v>5</v>
      </c>
      <c r="M22" t="s">
        <v>37</v>
      </c>
      <c r="N22" t="s">
        <v>1879</v>
      </c>
      <c r="O22" t="s">
        <v>261</v>
      </c>
      <c r="P22" t="s">
        <v>37</v>
      </c>
    </row>
    <row r="23" spans="1:16" x14ac:dyDescent="0.25">
      <c r="A23" t="s">
        <v>30</v>
      </c>
      <c r="B23" t="s">
        <v>31</v>
      </c>
      <c r="C23" t="str">
        <f t="shared" si="0"/>
        <v>KMF7_S2</v>
      </c>
      <c r="D23" t="s">
        <v>1877</v>
      </c>
      <c r="E23">
        <v>2</v>
      </c>
      <c r="F23" t="s">
        <v>1878</v>
      </c>
      <c r="G23" t="s">
        <v>49</v>
      </c>
      <c r="H23" t="s">
        <v>1832</v>
      </c>
      <c r="I23" t="s">
        <v>36</v>
      </c>
      <c r="J23">
        <v>20</v>
      </c>
      <c r="K23">
        <v>1000</v>
      </c>
      <c r="L23" t="s">
        <v>12</v>
      </c>
      <c r="M23" t="s">
        <v>37</v>
      </c>
      <c r="N23" t="s">
        <v>1880</v>
      </c>
      <c r="O23" t="s">
        <v>261</v>
      </c>
      <c r="P23" t="s">
        <v>37</v>
      </c>
    </row>
    <row r="24" spans="1:16" x14ac:dyDescent="0.25">
      <c r="A24" t="s">
        <v>266</v>
      </c>
      <c r="B24" t="s">
        <v>31</v>
      </c>
      <c r="C24" t="str">
        <f t="shared" si="0"/>
        <v>KMZP1NA_S1</v>
      </c>
      <c r="D24" t="s">
        <v>1881</v>
      </c>
      <c r="E24">
        <v>1</v>
      </c>
      <c r="F24" t="s">
        <v>1882</v>
      </c>
      <c r="G24" t="s">
        <v>54</v>
      </c>
      <c r="H24" t="s">
        <v>1832</v>
      </c>
      <c r="I24" t="s">
        <v>42</v>
      </c>
      <c r="J24" t="s">
        <v>37</v>
      </c>
      <c r="K24">
        <v>0</v>
      </c>
      <c r="L24" t="s">
        <v>5</v>
      </c>
      <c r="M24" t="s">
        <v>37</v>
      </c>
      <c r="N24" t="s">
        <v>132</v>
      </c>
      <c r="O24" t="s">
        <v>1883</v>
      </c>
      <c r="P24" t="s">
        <v>37</v>
      </c>
    </row>
    <row r="25" spans="1:16" x14ac:dyDescent="0.25">
      <c r="A25" t="s">
        <v>266</v>
      </c>
      <c r="B25" t="s">
        <v>31</v>
      </c>
      <c r="C25" t="str">
        <f t="shared" si="0"/>
        <v>KMZP1NA_S2</v>
      </c>
      <c r="D25" t="s">
        <v>1881</v>
      </c>
      <c r="E25">
        <v>2</v>
      </c>
      <c r="F25" t="s">
        <v>1882</v>
      </c>
      <c r="G25" t="s">
        <v>49</v>
      </c>
      <c r="H25" t="s">
        <v>1832</v>
      </c>
      <c r="I25" t="s">
        <v>42</v>
      </c>
      <c r="J25" t="s">
        <v>37</v>
      </c>
      <c r="K25">
        <v>25</v>
      </c>
      <c r="L25" t="s">
        <v>5</v>
      </c>
      <c r="M25" t="s">
        <v>37</v>
      </c>
      <c r="N25" t="s">
        <v>1884</v>
      </c>
      <c r="O25" t="s">
        <v>1883</v>
      </c>
      <c r="P25" t="s">
        <v>37</v>
      </c>
    </row>
    <row r="26" spans="1:16" x14ac:dyDescent="0.25">
      <c r="A26" t="s">
        <v>266</v>
      </c>
      <c r="B26" t="s">
        <v>31</v>
      </c>
      <c r="C26" t="str">
        <f t="shared" si="0"/>
        <v>KMZP2_S1</v>
      </c>
      <c r="D26" t="s">
        <v>1885</v>
      </c>
      <c r="E26">
        <v>1</v>
      </c>
      <c r="F26" t="s">
        <v>1886</v>
      </c>
      <c r="G26" t="s">
        <v>54</v>
      </c>
      <c r="H26" t="s">
        <v>1832</v>
      </c>
      <c r="I26" t="s">
        <v>36</v>
      </c>
      <c r="J26">
        <v>23</v>
      </c>
      <c r="K26">
        <v>0</v>
      </c>
      <c r="L26" t="s">
        <v>5</v>
      </c>
      <c r="M26" t="s">
        <v>37</v>
      </c>
      <c r="N26" t="s">
        <v>132</v>
      </c>
      <c r="O26" t="s">
        <v>1887</v>
      </c>
      <c r="P26" t="s">
        <v>37</v>
      </c>
    </row>
    <row r="27" spans="1:16" x14ac:dyDescent="0.25">
      <c r="A27" t="s">
        <v>266</v>
      </c>
      <c r="B27" t="s">
        <v>31</v>
      </c>
      <c r="C27" t="str">
        <f t="shared" si="0"/>
        <v>KMZP2_S2</v>
      </c>
      <c r="D27" t="s">
        <v>1885</v>
      </c>
      <c r="E27">
        <v>2</v>
      </c>
      <c r="F27" t="s">
        <v>1886</v>
      </c>
      <c r="G27" t="s">
        <v>49</v>
      </c>
      <c r="H27" t="s">
        <v>1832</v>
      </c>
      <c r="I27" t="s">
        <v>36</v>
      </c>
      <c r="J27">
        <v>23</v>
      </c>
      <c r="K27">
        <v>50</v>
      </c>
      <c r="L27" t="s">
        <v>5</v>
      </c>
      <c r="M27" t="s">
        <v>37</v>
      </c>
      <c r="N27" t="s">
        <v>1888</v>
      </c>
      <c r="O27" t="s">
        <v>1887</v>
      </c>
      <c r="P27" t="s">
        <v>37</v>
      </c>
    </row>
    <row r="28" spans="1:16" x14ac:dyDescent="0.25">
      <c r="A28" t="s">
        <v>266</v>
      </c>
      <c r="B28" t="s">
        <v>31</v>
      </c>
      <c r="C28" t="str">
        <f t="shared" si="0"/>
        <v>KMZP3_S1</v>
      </c>
      <c r="D28" t="s">
        <v>1889</v>
      </c>
      <c r="E28">
        <v>1</v>
      </c>
      <c r="F28" t="s">
        <v>1890</v>
      </c>
      <c r="G28" t="s">
        <v>54</v>
      </c>
      <c r="H28" t="s">
        <v>1832</v>
      </c>
      <c r="I28" t="s">
        <v>36</v>
      </c>
      <c r="J28">
        <v>26</v>
      </c>
      <c r="K28">
        <v>0</v>
      </c>
      <c r="L28" t="s">
        <v>5</v>
      </c>
      <c r="M28" t="s">
        <v>37</v>
      </c>
      <c r="N28" t="s">
        <v>132</v>
      </c>
      <c r="O28" t="s">
        <v>1891</v>
      </c>
      <c r="P28" t="s">
        <v>37</v>
      </c>
    </row>
    <row r="29" spans="1:16" x14ac:dyDescent="0.25">
      <c r="A29" t="s">
        <v>266</v>
      </c>
      <c r="B29" t="s">
        <v>31</v>
      </c>
      <c r="C29" t="str">
        <f t="shared" si="0"/>
        <v>KMZP3_S2</v>
      </c>
      <c r="D29" t="s">
        <v>1889</v>
      </c>
      <c r="E29">
        <v>2</v>
      </c>
      <c r="F29" t="s">
        <v>1890</v>
      </c>
      <c r="G29" t="s">
        <v>49</v>
      </c>
      <c r="H29" t="s">
        <v>1832</v>
      </c>
      <c r="I29" t="s">
        <v>36</v>
      </c>
      <c r="J29">
        <v>26</v>
      </c>
      <c r="K29">
        <v>50</v>
      </c>
      <c r="L29" t="s">
        <v>5</v>
      </c>
      <c r="M29" t="s">
        <v>37</v>
      </c>
      <c r="N29" t="s">
        <v>1892</v>
      </c>
      <c r="O29" t="s">
        <v>1891</v>
      </c>
      <c r="P29" t="s">
        <v>37</v>
      </c>
    </row>
    <row r="30" spans="1:16" x14ac:dyDescent="0.25">
      <c r="A30" t="s">
        <v>266</v>
      </c>
      <c r="B30" t="s">
        <v>31</v>
      </c>
      <c r="C30" t="str">
        <f t="shared" si="0"/>
        <v>KMZP4_S1</v>
      </c>
      <c r="D30" t="s">
        <v>1893</v>
      </c>
      <c r="E30">
        <v>1</v>
      </c>
      <c r="F30" t="s">
        <v>1894</v>
      </c>
      <c r="G30" t="s">
        <v>54</v>
      </c>
      <c r="H30" t="s">
        <v>1832</v>
      </c>
      <c r="I30" t="s">
        <v>36</v>
      </c>
      <c r="J30">
        <v>27</v>
      </c>
      <c r="K30">
        <v>0</v>
      </c>
      <c r="L30" t="s">
        <v>5</v>
      </c>
      <c r="M30" t="s">
        <v>37</v>
      </c>
      <c r="N30" t="s">
        <v>132</v>
      </c>
      <c r="O30" t="s">
        <v>1895</v>
      </c>
      <c r="P30" t="s">
        <v>37</v>
      </c>
    </row>
    <row r="31" spans="1:16" x14ac:dyDescent="0.25">
      <c r="A31" t="s">
        <v>266</v>
      </c>
      <c r="B31" t="s">
        <v>31</v>
      </c>
      <c r="C31" t="str">
        <f t="shared" si="0"/>
        <v>KMZP4_S2</v>
      </c>
      <c r="D31" t="s">
        <v>1893</v>
      </c>
      <c r="E31">
        <v>2</v>
      </c>
      <c r="F31" t="s">
        <v>1894</v>
      </c>
      <c r="G31" t="s">
        <v>49</v>
      </c>
      <c r="H31" t="s">
        <v>1832</v>
      </c>
      <c r="I31" t="s">
        <v>36</v>
      </c>
      <c r="J31">
        <v>27</v>
      </c>
      <c r="K31">
        <v>25</v>
      </c>
      <c r="L31" t="s">
        <v>5</v>
      </c>
      <c r="M31" t="s">
        <v>37</v>
      </c>
      <c r="N31" t="s">
        <v>1896</v>
      </c>
      <c r="O31" t="s">
        <v>1895</v>
      </c>
      <c r="P31" t="s">
        <v>37</v>
      </c>
    </row>
    <row r="32" spans="1:16" x14ac:dyDescent="0.25">
      <c r="A32" t="s">
        <v>266</v>
      </c>
      <c r="B32" t="s">
        <v>31</v>
      </c>
      <c r="C32" t="str">
        <f t="shared" si="0"/>
        <v>KMZP5_S1</v>
      </c>
      <c r="D32" t="s">
        <v>1897</v>
      </c>
      <c r="E32">
        <v>1</v>
      </c>
      <c r="F32" t="s">
        <v>1898</v>
      </c>
      <c r="G32" t="s">
        <v>54</v>
      </c>
      <c r="H32" t="s">
        <v>1832</v>
      </c>
      <c r="I32" t="s">
        <v>36</v>
      </c>
      <c r="J32">
        <v>27</v>
      </c>
      <c r="K32">
        <v>0</v>
      </c>
      <c r="L32" t="s">
        <v>5</v>
      </c>
      <c r="M32" t="s">
        <v>1460</v>
      </c>
      <c r="N32" t="s">
        <v>132</v>
      </c>
      <c r="O32" t="s">
        <v>1899</v>
      </c>
      <c r="P32" t="s">
        <v>37</v>
      </c>
    </row>
    <row r="33" spans="1:16" x14ac:dyDescent="0.25">
      <c r="A33" t="s">
        <v>266</v>
      </c>
      <c r="B33" t="s">
        <v>31</v>
      </c>
      <c r="C33" t="str">
        <f t="shared" si="0"/>
        <v>KMZP5_S2</v>
      </c>
      <c r="D33" t="s">
        <v>1897</v>
      </c>
      <c r="E33">
        <v>2</v>
      </c>
      <c r="F33" t="s">
        <v>1898</v>
      </c>
      <c r="G33" t="s">
        <v>49</v>
      </c>
      <c r="H33" t="s">
        <v>1832</v>
      </c>
      <c r="I33" t="s">
        <v>36</v>
      </c>
      <c r="J33">
        <v>27</v>
      </c>
      <c r="K33">
        <v>50</v>
      </c>
      <c r="L33" t="s">
        <v>5</v>
      </c>
      <c r="M33" t="s">
        <v>1460</v>
      </c>
      <c r="N33" t="s">
        <v>1900</v>
      </c>
      <c r="O33" t="s">
        <v>1899</v>
      </c>
      <c r="P33" t="s">
        <v>37</v>
      </c>
    </row>
    <row r="34" spans="1:16" x14ac:dyDescent="0.25">
      <c r="A34" t="s">
        <v>266</v>
      </c>
      <c r="B34" t="s">
        <v>31</v>
      </c>
      <c r="C34" t="str">
        <f t="shared" si="0"/>
        <v>KMZP6_S1</v>
      </c>
      <c r="D34" t="s">
        <v>1901</v>
      </c>
      <c r="E34">
        <v>1</v>
      </c>
      <c r="F34" t="s">
        <v>1902</v>
      </c>
      <c r="G34" t="s">
        <v>54</v>
      </c>
      <c r="H34" t="s">
        <v>1832</v>
      </c>
      <c r="I34" t="s">
        <v>36</v>
      </c>
      <c r="J34">
        <v>30</v>
      </c>
      <c r="K34">
        <v>0</v>
      </c>
      <c r="L34" t="s">
        <v>5</v>
      </c>
      <c r="M34" t="s">
        <v>37</v>
      </c>
      <c r="N34" t="s">
        <v>132</v>
      </c>
      <c r="O34" t="s">
        <v>1903</v>
      </c>
      <c r="P34" t="s">
        <v>37</v>
      </c>
    </row>
    <row r="35" spans="1:16" x14ac:dyDescent="0.25">
      <c r="A35" t="s">
        <v>266</v>
      </c>
      <c r="B35" t="s">
        <v>31</v>
      </c>
      <c r="C35" t="str">
        <f t="shared" si="0"/>
        <v>KMZP6_S2</v>
      </c>
      <c r="D35" t="s">
        <v>1901</v>
      </c>
      <c r="E35">
        <v>2</v>
      </c>
      <c r="F35" t="s">
        <v>1902</v>
      </c>
      <c r="G35" t="s">
        <v>49</v>
      </c>
      <c r="H35" t="s">
        <v>1832</v>
      </c>
      <c r="I35" t="s">
        <v>36</v>
      </c>
      <c r="J35">
        <v>30</v>
      </c>
      <c r="K35">
        <v>25</v>
      </c>
      <c r="L35" t="s">
        <v>5</v>
      </c>
      <c r="M35" t="s">
        <v>37</v>
      </c>
      <c r="N35" t="s">
        <v>1904</v>
      </c>
      <c r="O35" t="s">
        <v>1903</v>
      </c>
      <c r="P35" t="s">
        <v>37</v>
      </c>
    </row>
  </sheetData>
  <conditionalFormatting sqref="C1:C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2"/>
  <sheetViews>
    <sheetView topLeftCell="A70" workbookViewId="0">
      <selection activeCell="N91" sqref="N91"/>
    </sheetView>
  </sheetViews>
  <sheetFormatPr defaultRowHeight="15" x14ac:dyDescent="0.25"/>
  <cols>
    <col min="1" max="1" width="21.7109375" bestFit="1" customWidth="1"/>
    <col min="2" max="2" width="11.42578125" bestFit="1" customWidth="1"/>
    <col min="3" max="5" width="11.42578125" customWidth="1"/>
    <col min="6" max="6" width="42.140625" bestFit="1" customWidth="1"/>
    <col min="7" max="7" width="42.140625" customWidth="1"/>
    <col min="8" max="8" width="9.42578125" bestFit="1" customWidth="1"/>
    <col min="9" max="9" width="26.42578125" bestFit="1" customWidth="1"/>
    <col min="10" max="10" width="20.140625" bestFit="1" customWidth="1"/>
    <col min="11" max="11" width="10.42578125" bestFit="1" customWidth="1"/>
    <col min="12" max="12" width="10.42578125" customWidth="1"/>
    <col min="13" max="13" width="16.7109375" bestFit="1" customWidth="1"/>
    <col min="14" max="14" width="17.140625" customWidth="1"/>
    <col min="15" max="16" width="18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0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25">
      <c r="A2" s="4" t="s">
        <v>30</v>
      </c>
      <c r="B2" s="4" t="s">
        <v>1905</v>
      </c>
      <c r="C2" s="4" t="str">
        <f t="shared" ref="C2:C65" si="0">_xlfn.CONCAT(D2,"_S",E2)</f>
        <v>KIWF1_S1</v>
      </c>
      <c r="D2" s="4" t="s">
        <v>1906</v>
      </c>
      <c r="E2" s="4">
        <v>1</v>
      </c>
      <c r="F2" t="s">
        <v>1907</v>
      </c>
      <c r="G2" s="4" t="s">
        <v>54</v>
      </c>
      <c r="H2" t="s">
        <v>138</v>
      </c>
      <c r="I2" s="4" t="s">
        <v>36</v>
      </c>
      <c r="J2">
        <v>34</v>
      </c>
      <c r="K2">
        <v>0</v>
      </c>
      <c r="L2" t="s">
        <v>5</v>
      </c>
      <c r="M2" t="s">
        <v>37</v>
      </c>
      <c r="N2" t="s">
        <v>942</v>
      </c>
      <c r="O2" t="s">
        <v>1908</v>
      </c>
      <c r="P2" t="s">
        <v>37</v>
      </c>
    </row>
    <row r="3" spans="1:16" x14ac:dyDescent="0.25">
      <c r="A3" s="4" t="s">
        <v>30</v>
      </c>
      <c r="B3" s="4" t="s">
        <v>1905</v>
      </c>
      <c r="C3" s="4" t="str">
        <f t="shared" si="0"/>
        <v>KIWF1_S2</v>
      </c>
      <c r="D3" s="4" t="s">
        <v>1906</v>
      </c>
      <c r="E3" s="4">
        <v>2</v>
      </c>
      <c r="F3" t="s">
        <v>1907</v>
      </c>
      <c r="G3" s="4" t="s">
        <v>49</v>
      </c>
      <c r="H3" t="s">
        <v>138</v>
      </c>
      <c r="I3" s="4" t="s">
        <v>36</v>
      </c>
      <c r="J3">
        <v>34</v>
      </c>
      <c r="K3">
        <v>50</v>
      </c>
      <c r="L3" t="s">
        <v>5</v>
      </c>
      <c r="M3" t="s">
        <v>37</v>
      </c>
      <c r="N3" t="s">
        <v>1909</v>
      </c>
      <c r="O3" t="s">
        <v>1908</v>
      </c>
      <c r="P3" t="s">
        <v>37</v>
      </c>
    </row>
    <row r="4" spans="1:16" x14ac:dyDescent="0.25">
      <c r="A4" s="4" t="s">
        <v>30</v>
      </c>
      <c r="B4" s="4" t="s">
        <v>1905</v>
      </c>
      <c r="C4" s="4" t="str">
        <f t="shared" si="0"/>
        <v>KIWF2_S1</v>
      </c>
      <c r="D4" s="4" t="s">
        <v>1910</v>
      </c>
      <c r="E4" s="4">
        <v>1</v>
      </c>
      <c r="F4" t="s">
        <v>1911</v>
      </c>
      <c r="G4" s="4" t="s">
        <v>54</v>
      </c>
      <c r="H4" t="s">
        <v>1912</v>
      </c>
      <c r="I4" s="4" t="s">
        <v>36</v>
      </c>
      <c r="J4">
        <v>35</v>
      </c>
      <c r="K4">
        <v>0</v>
      </c>
      <c r="L4" t="s">
        <v>5</v>
      </c>
      <c r="M4" t="s">
        <v>37</v>
      </c>
      <c r="N4" t="s">
        <v>1913</v>
      </c>
      <c r="O4" t="s">
        <v>1914</v>
      </c>
      <c r="P4" t="s">
        <v>37</v>
      </c>
    </row>
    <row r="5" spans="1:16" x14ac:dyDescent="0.25">
      <c r="A5" s="4" t="s">
        <v>30</v>
      </c>
      <c r="B5" s="4" t="s">
        <v>1905</v>
      </c>
      <c r="C5" s="4" t="str">
        <f t="shared" si="0"/>
        <v>KIWF2_S2</v>
      </c>
      <c r="D5" s="4" t="s">
        <v>1910</v>
      </c>
      <c r="E5" s="4">
        <v>2</v>
      </c>
      <c r="F5" t="s">
        <v>1911</v>
      </c>
      <c r="G5" s="4" t="s">
        <v>1915</v>
      </c>
      <c r="H5" t="s">
        <v>1912</v>
      </c>
      <c r="I5" s="4" t="s">
        <v>36</v>
      </c>
      <c r="J5">
        <v>35</v>
      </c>
      <c r="K5">
        <v>450</v>
      </c>
      <c r="L5" t="s">
        <v>5</v>
      </c>
      <c r="M5" t="s">
        <v>37</v>
      </c>
      <c r="N5" t="s">
        <v>1907</v>
      </c>
      <c r="O5" t="s">
        <v>1914</v>
      </c>
      <c r="P5" t="s">
        <v>37</v>
      </c>
    </row>
    <row r="6" spans="1:16" x14ac:dyDescent="0.25">
      <c r="A6" s="4" t="s">
        <v>30</v>
      </c>
      <c r="B6" s="4" t="s">
        <v>1905</v>
      </c>
      <c r="C6" s="4" t="str">
        <f t="shared" si="0"/>
        <v>KIWF2_S3o</v>
      </c>
      <c r="D6" s="4" t="s">
        <v>1910</v>
      </c>
      <c r="E6" s="4" t="s">
        <v>1686</v>
      </c>
      <c r="F6" t="s">
        <v>1911</v>
      </c>
      <c r="G6" s="4" t="s">
        <v>1916</v>
      </c>
      <c r="H6" t="s">
        <v>1912</v>
      </c>
      <c r="I6" s="4" t="s">
        <v>36</v>
      </c>
      <c r="J6">
        <v>35</v>
      </c>
      <c r="K6">
        <v>150</v>
      </c>
      <c r="L6" t="s">
        <v>5</v>
      </c>
      <c r="M6" t="s">
        <v>37</v>
      </c>
      <c r="N6" t="s">
        <v>1917</v>
      </c>
      <c r="O6" t="s">
        <v>37</v>
      </c>
      <c r="P6" t="s">
        <v>37</v>
      </c>
    </row>
    <row r="7" spans="1:16" x14ac:dyDescent="0.25">
      <c r="A7" s="4" t="s">
        <v>30</v>
      </c>
      <c r="B7" s="4" t="s">
        <v>1905</v>
      </c>
      <c r="C7" s="4" t="str">
        <f t="shared" si="0"/>
        <v>KIWF2_S4</v>
      </c>
      <c r="D7" s="4" t="s">
        <v>1910</v>
      </c>
      <c r="E7" s="4">
        <v>4</v>
      </c>
      <c r="F7" t="s">
        <v>1911</v>
      </c>
      <c r="G7" s="4" t="s">
        <v>1918</v>
      </c>
      <c r="H7" t="s">
        <v>1912</v>
      </c>
      <c r="I7" s="4" t="s">
        <v>36</v>
      </c>
      <c r="J7">
        <v>35</v>
      </c>
      <c r="K7">
        <v>500</v>
      </c>
      <c r="L7" t="s">
        <v>5</v>
      </c>
      <c r="M7" t="s">
        <v>37</v>
      </c>
      <c r="N7" t="s">
        <v>1917</v>
      </c>
      <c r="O7" t="s">
        <v>37</v>
      </c>
      <c r="P7" t="s">
        <v>37</v>
      </c>
    </row>
    <row r="8" spans="1:16" x14ac:dyDescent="0.25">
      <c r="A8" s="4" t="s">
        <v>30</v>
      </c>
      <c r="B8" s="4" t="s">
        <v>1905</v>
      </c>
      <c r="C8" s="4" t="str">
        <f t="shared" si="0"/>
        <v>KIWF2_S5</v>
      </c>
      <c r="D8" s="4" t="s">
        <v>1910</v>
      </c>
      <c r="E8" s="4">
        <v>5</v>
      </c>
      <c r="F8" t="s">
        <v>1911</v>
      </c>
      <c r="G8" s="4" t="s">
        <v>1919</v>
      </c>
      <c r="H8" t="s">
        <v>1912</v>
      </c>
      <c r="I8" s="4" t="s">
        <v>36</v>
      </c>
      <c r="J8">
        <v>35</v>
      </c>
      <c r="K8">
        <v>150</v>
      </c>
      <c r="L8" t="s">
        <v>5</v>
      </c>
      <c r="M8" t="s">
        <v>37</v>
      </c>
      <c r="N8" t="s">
        <v>1920</v>
      </c>
      <c r="O8" t="s">
        <v>37</v>
      </c>
      <c r="P8" t="s">
        <v>37</v>
      </c>
    </row>
    <row r="9" spans="1:16" x14ac:dyDescent="0.25">
      <c r="A9" s="4" t="s">
        <v>30</v>
      </c>
      <c r="B9" s="4" t="s">
        <v>1905</v>
      </c>
      <c r="C9" s="4" t="str">
        <f t="shared" si="0"/>
        <v>KIWF2_S6</v>
      </c>
      <c r="D9" s="4" t="s">
        <v>1910</v>
      </c>
      <c r="E9" s="4">
        <v>6</v>
      </c>
      <c r="F9" t="s">
        <v>1911</v>
      </c>
      <c r="G9" s="4" t="s">
        <v>1921</v>
      </c>
      <c r="H9" t="s">
        <v>1912</v>
      </c>
      <c r="I9" s="4" t="s">
        <v>36</v>
      </c>
      <c r="J9">
        <v>35</v>
      </c>
      <c r="K9">
        <v>300</v>
      </c>
      <c r="L9" t="s">
        <v>5</v>
      </c>
      <c r="M9" t="s">
        <v>37</v>
      </c>
      <c r="N9" t="s">
        <v>1922</v>
      </c>
      <c r="O9" t="s">
        <v>37</v>
      </c>
      <c r="P9" t="s">
        <v>37</v>
      </c>
    </row>
    <row r="10" spans="1:16" x14ac:dyDescent="0.25">
      <c r="A10" s="4" t="s">
        <v>30</v>
      </c>
      <c r="B10" s="4" t="s">
        <v>1905</v>
      </c>
      <c r="C10" s="4" t="str">
        <f t="shared" si="0"/>
        <v>KIWF2_S7</v>
      </c>
      <c r="D10" s="4" t="s">
        <v>1910</v>
      </c>
      <c r="E10" s="4">
        <v>7</v>
      </c>
      <c r="F10" t="s">
        <v>1911</v>
      </c>
      <c r="G10" s="4" t="s">
        <v>1923</v>
      </c>
      <c r="H10" t="s">
        <v>1912</v>
      </c>
      <c r="I10" s="4" t="s">
        <v>36</v>
      </c>
      <c r="J10">
        <v>35</v>
      </c>
      <c r="K10">
        <v>100</v>
      </c>
      <c r="L10" t="s">
        <v>5</v>
      </c>
      <c r="M10" t="s">
        <v>37</v>
      </c>
      <c r="N10" t="s">
        <v>1924</v>
      </c>
      <c r="O10" t="s">
        <v>37</v>
      </c>
      <c r="P10" t="s">
        <v>37</v>
      </c>
    </row>
    <row r="11" spans="1:16" x14ac:dyDescent="0.25">
      <c r="A11" s="4" t="s">
        <v>30</v>
      </c>
      <c r="B11" s="4" t="s">
        <v>1905</v>
      </c>
      <c r="C11" s="4" t="str">
        <f t="shared" si="0"/>
        <v>KIWF2_S8</v>
      </c>
      <c r="D11" s="4" t="s">
        <v>1910</v>
      </c>
      <c r="E11" s="4">
        <v>8</v>
      </c>
      <c r="F11" t="s">
        <v>1911</v>
      </c>
      <c r="G11" s="4" t="s">
        <v>1925</v>
      </c>
      <c r="H11" t="s">
        <v>1912</v>
      </c>
      <c r="I11" s="4" t="s">
        <v>36</v>
      </c>
      <c r="J11">
        <v>35</v>
      </c>
      <c r="K11">
        <v>150</v>
      </c>
      <c r="L11" t="s">
        <v>5</v>
      </c>
      <c r="M11" t="s">
        <v>37</v>
      </c>
      <c r="N11" t="s">
        <v>1926</v>
      </c>
      <c r="O11" t="s">
        <v>37</v>
      </c>
      <c r="P11" t="s">
        <v>37</v>
      </c>
    </row>
    <row r="12" spans="1:16" x14ac:dyDescent="0.25">
      <c r="A12" s="4" t="s">
        <v>30</v>
      </c>
      <c r="B12" s="4" t="s">
        <v>1905</v>
      </c>
      <c r="C12" s="4" t="str">
        <f t="shared" si="0"/>
        <v>KIWF2_S9</v>
      </c>
      <c r="D12" s="4" t="s">
        <v>1910</v>
      </c>
      <c r="E12" s="4">
        <v>9</v>
      </c>
      <c r="F12" t="s">
        <v>1911</v>
      </c>
      <c r="G12" s="4" t="s">
        <v>1927</v>
      </c>
      <c r="H12" t="s">
        <v>1912</v>
      </c>
      <c r="I12" s="4" t="s">
        <v>36</v>
      </c>
      <c r="J12">
        <v>35</v>
      </c>
      <c r="K12">
        <v>150</v>
      </c>
      <c r="L12" t="s">
        <v>5</v>
      </c>
      <c r="M12" t="s">
        <v>37</v>
      </c>
      <c r="N12" t="s">
        <v>1928</v>
      </c>
      <c r="O12" t="s">
        <v>37</v>
      </c>
      <c r="P12" t="s">
        <v>37</v>
      </c>
    </row>
    <row r="13" spans="1:16" x14ac:dyDescent="0.25">
      <c r="A13" s="4" t="s">
        <v>30</v>
      </c>
      <c r="B13" s="4" t="s">
        <v>1905</v>
      </c>
      <c r="C13" s="4" t="str">
        <f t="shared" si="0"/>
        <v>KIWF2_S10</v>
      </c>
      <c r="D13" s="4" t="s">
        <v>1910</v>
      </c>
      <c r="E13" s="4">
        <v>10</v>
      </c>
      <c r="F13" t="s">
        <v>1911</v>
      </c>
      <c r="G13" s="4" t="s">
        <v>1929</v>
      </c>
      <c r="H13" t="s">
        <v>1912</v>
      </c>
      <c r="I13" s="4" t="s">
        <v>36</v>
      </c>
      <c r="J13">
        <v>35</v>
      </c>
      <c r="K13">
        <v>200</v>
      </c>
      <c r="L13" t="s">
        <v>5</v>
      </c>
      <c r="M13" t="s">
        <v>37</v>
      </c>
      <c r="N13" t="s">
        <v>1930</v>
      </c>
      <c r="O13" t="s">
        <v>37</v>
      </c>
      <c r="P13" t="s">
        <v>37</v>
      </c>
    </row>
    <row r="14" spans="1:16" x14ac:dyDescent="0.25">
      <c r="A14" s="4" t="s">
        <v>30</v>
      </c>
      <c r="B14" s="4" t="s">
        <v>1905</v>
      </c>
      <c r="C14" s="4" t="str">
        <f t="shared" si="0"/>
        <v>KIWF2_S11</v>
      </c>
      <c r="D14" s="4" t="s">
        <v>1910</v>
      </c>
      <c r="E14" s="4">
        <v>11</v>
      </c>
      <c r="F14" t="s">
        <v>1911</v>
      </c>
      <c r="G14" s="4" t="s">
        <v>1931</v>
      </c>
      <c r="H14" t="s">
        <v>1912</v>
      </c>
      <c r="I14" s="4" t="s">
        <v>36</v>
      </c>
      <c r="J14">
        <v>35</v>
      </c>
      <c r="K14">
        <v>1000</v>
      </c>
      <c r="L14" t="s">
        <v>5</v>
      </c>
      <c r="M14" t="s">
        <v>37</v>
      </c>
      <c r="N14" t="s">
        <v>1932</v>
      </c>
      <c r="O14" t="s">
        <v>37</v>
      </c>
      <c r="P14" t="s">
        <v>37</v>
      </c>
    </row>
    <row r="15" spans="1:16" x14ac:dyDescent="0.25">
      <c r="A15" s="4" t="s">
        <v>30</v>
      </c>
      <c r="B15" s="4" t="s">
        <v>1905</v>
      </c>
      <c r="C15" s="4" t="str">
        <f t="shared" si="0"/>
        <v>KIWF3_S1</v>
      </c>
      <c r="D15" s="4" t="s">
        <v>1933</v>
      </c>
      <c r="E15" s="4">
        <v>1</v>
      </c>
      <c r="F15" t="s">
        <v>1934</v>
      </c>
      <c r="G15" s="4" t="s">
        <v>54</v>
      </c>
      <c r="H15" t="s">
        <v>1912</v>
      </c>
      <c r="I15" s="4" t="s">
        <v>36</v>
      </c>
      <c r="J15">
        <v>36</v>
      </c>
      <c r="K15">
        <v>0</v>
      </c>
      <c r="L15" t="s">
        <v>5</v>
      </c>
      <c r="M15" t="s">
        <v>37</v>
      </c>
      <c r="N15" t="s">
        <v>1935</v>
      </c>
      <c r="O15" t="s">
        <v>1936</v>
      </c>
      <c r="P15" t="s">
        <v>37</v>
      </c>
    </row>
    <row r="16" spans="1:16" x14ac:dyDescent="0.25">
      <c r="A16" s="4" t="s">
        <v>30</v>
      </c>
      <c r="B16" s="4" t="s">
        <v>1905</v>
      </c>
      <c r="C16" s="4" t="str">
        <f t="shared" si="0"/>
        <v>KIWF3_S2</v>
      </c>
      <c r="D16" s="4" t="s">
        <v>1933</v>
      </c>
      <c r="E16" s="4">
        <v>2</v>
      </c>
      <c r="F16" t="s">
        <v>1934</v>
      </c>
      <c r="G16" s="4" t="s">
        <v>1937</v>
      </c>
      <c r="H16" t="s">
        <v>1912</v>
      </c>
      <c r="I16" s="4" t="s">
        <v>36</v>
      </c>
      <c r="J16">
        <v>36</v>
      </c>
      <c r="K16">
        <v>1000</v>
      </c>
      <c r="L16" t="s">
        <v>5</v>
      </c>
      <c r="M16" t="s">
        <v>37</v>
      </c>
      <c r="N16" t="s">
        <v>1911</v>
      </c>
      <c r="O16" t="s">
        <v>1936</v>
      </c>
      <c r="P16" t="s">
        <v>37</v>
      </c>
    </row>
    <row r="17" spans="1:16" x14ac:dyDescent="0.25">
      <c r="A17" s="4" t="s">
        <v>30</v>
      </c>
      <c r="B17" s="4" t="s">
        <v>1905</v>
      </c>
      <c r="C17" s="4" t="str">
        <f t="shared" si="0"/>
        <v>KIWF4_S1</v>
      </c>
      <c r="D17" s="4" t="s">
        <v>1938</v>
      </c>
      <c r="E17" s="4">
        <v>1</v>
      </c>
      <c r="F17" t="s">
        <v>1939</v>
      </c>
      <c r="G17" s="4" t="s">
        <v>54</v>
      </c>
      <c r="H17" t="s">
        <v>1912</v>
      </c>
      <c r="I17" s="4" t="s">
        <v>36</v>
      </c>
      <c r="J17">
        <v>39</v>
      </c>
      <c r="K17">
        <v>0</v>
      </c>
      <c r="L17" t="s">
        <v>5</v>
      </c>
      <c r="M17" t="s">
        <v>37</v>
      </c>
      <c r="N17" t="s">
        <v>1940</v>
      </c>
      <c r="O17" t="s">
        <v>1941</v>
      </c>
      <c r="P17" t="s">
        <v>37</v>
      </c>
    </row>
    <row r="18" spans="1:16" x14ac:dyDescent="0.25">
      <c r="A18" s="4" t="s">
        <v>30</v>
      </c>
      <c r="B18" s="4" t="s">
        <v>1905</v>
      </c>
      <c r="C18" s="4" t="str">
        <f t="shared" si="0"/>
        <v>KIWF4_S2o</v>
      </c>
      <c r="D18" s="4" t="s">
        <v>1938</v>
      </c>
      <c r="E18" s="4" t="s">
        <v>1942</v>
      </c>
      <c r="F18" t="s">
        <v>1939</v>
      </c>
      <c r="G18" s="4" t="s">
        <v>1943</v>
      </c>
      <c r="H18" t="s">
        <v>1912</v>
      </c>
      <c r="I18" s="4" t="s">
        <v>36</v>
      </c>
      <c r="J18">
        <v>39</v>
      </c>
      <c r="K18">
        <v>100</v>
      </c>
      <c r="L18" t="s">
        <v>5</v>
      </c>
      <c r="M18" t="s">
        <v>37</v>
      </c>
      <c r="N18" t="s">
        <v>1934</v>
      </c>
      <c r="O18" t="s">
        <v>1941</v>
      </c>
      <c r="P18" t="s">
        <v>37</v>
      </c>
    </row>
    <row r="19" spans="1:16" x14ac:dyDescent="0.25">
      <c r="A19" s="4" t="s">
        <v>30</v>
      </c>
      <c r="B19" s="4" t="s">
        <v>1905</v>
      </c>
      <c r="C19" s="4" t="str">
        <f t="shared" si="0"/>
        <v>KIWF4_S3</v>
      </c>
      <c r="D19" s="4" t="s">
        <v>1938</v>
      </c>
      <c r="E19" s="4">
        <v>3</v>
      </c>
      <c r="F19" t="s">
        <v>1939</v>
      </c>
      <c r="G19" s="4" t="s">
        <v>1944</v>
      </c>
      <c r="H19" t="s">
        <v>1912</v>
      </c>
      <c r="I19" s="4" t="s">
        <v>36</v>
      </c>
      <c r="J19">
        <v>39</v>
      </c>
      <c r="K19">
        <v>450</v>
      </c>
      <c r="L19" t="s">
        <v>5</v>
      </c>
      <c r="M19" t="s">
        <v>37</v>
      </c>
      <c r="N19" t="s">
        <v>1945</v>
      </c>
      <c r="O19" t="s">
        <v>37</v>
      </c>
      <c r="P19" t="s">
        <v>37</v>
      </c>
    </row>
    <row r="20" spans="1:16" x14ac:dyDescent="0.25">
      <c r="A20" s="4" t="s">
        <v>30</v>
      </c>
      <c r="B20" s="4" t="s">
        <v>1905</v>
      </c>
      <c r="C20" s="4" t="str">
        <f t="shared" si="0"/>
        <v>KIWF4_S4</v>
      </c>
      <c r="D20" s="4" t="s">
        <v>1938</v>
      </c>
      <c r="E20" s="4">
        <v>4</v>
      </c>
      <c r="F20" t="s">
        <v>1939</v>
      </c>
      <c r="G20" s="4" t="s">
        <v>1946</v>
      </c>
      <c r="H20" t="s">
        <v>1912</v>
      </c>
      <c r="I20" s="4" t="s">
        <v>36</v>
      </c>
      <c r="J20">
        <v>39</v>
      </c>
      <c r="K20">
        <v>100</v>
      </c>
      <c r="L20" t="s">
        <v>5</v>
      </c>
      <c r="M20" t="s">
        <v>37</v>
      </c>
      <c r="N20" t="s">
        <v>1947</v>
      </c>
      <c r="O20" t="s">
        <v>37</v>
      </c>
      <c r="P20" t="s">
        <v>37</v>
      </c>
    </row>
    <row r="21" spans="1:16" x14ac:dyDescent="0.25">
      <c r="A21" s="4" t="s">
        <v>30</v>
      </c>
      <c r="B21" s="4" t="s">
        <v>1905</v>
      </c>
      <c r="C21" s="4" t="str">
        <f t="shared" si="0"/>
        <v>KIWF4_S5</v>
      </c>
      <c r="D21" s="4" t="s">
        <v>1938</v>
      </c>
      <c r="E21" s="4">
        <v>5</v>
      </c>
      <c r="F21" t="s">
        <v>1939</v>
      </c>
      <c r="G21" s="4" t="s">
        <v>1948</v>
      </c>
      <c r="H21" t="s">
        <v>1912</v>
      </c>
      <c r="I21" s="4" t="s">
        <v>36</v>
      </c>
      <c r="J21">
        <v>39</v>
      </c>
      <c r="K21">
        <v>300</v>
      </c>
      <c r="L21" t="s">
        <v>5</v>
      </c>
      <c r="M21" t="s">
        <v>37</v>
      </c>
      <c r="N21" t="s">
        <v>1949</v>
      </c>
      <c r="O21" t="s">
        <v>37</v>
      </c>
      <c r="P21" t="s">
        <v>37</v>
      </c>
    </row>
    <row r="22" spans="1:16" x14ac:dyDescent="0.25">
      <c r="A22" s="4" t="s">
        <v>30</v>
      </c>
      <c r="B22" s="4" t="s">
        <v>1905</v>
      </c>
      <c r="C22" s="4" t="str">
        <f t="shared" si="0"/>
        <v>KIWF4_S6</v>
      </c>
      <c r="D22" s="4" t="s">
        <v>1938</v>
      </c>
      <c r="E22" s="4">
        <v>6</v>
      </c>
      <c r="F22" t="s">
        <v>1939</v>
      </c>
      <c r="G22" s="4" t="s">
        <v>1950</v>
      </c>
      <c r="H22" t="s">
        <v>1912</v>
      </c>
      <c r="I22" s="4" t="s">
        <v>36</v>
      </c>
      <c r="J22">
        <v>39</v>
      </c>
      <c r="K22">
        <v>1000</v>
      </c>
      <c r="L22" t="s">
        <v>5</v>
      </c>
      <c r="M22" t="s">
        <v>37</v>
      </c>
      <c r="N22" t="s">
        <v>1951</v>
      </c>
      <c r="O22" t="s">
        <v>37</v>
      </c>
      <c r="P22" t="s">
        <v>37</v>
      </c>
    </row>
    <row r="23" spans="1:16" x14ac:dyDescent="0.25">
      <c r="A23" s="4" t="s">
        <v>30</v>
      </c>
      <c r="B23" s="4" t="s">
        <v>1905</v>
      </c>
      <c r="C23" s="4" t="str">
        <f t="shared" si="0"/>
        <v>KIWF4_S7a</v>
      </c>
      <c r="D23" s="4" t="s">
        <v>1938</v>
      </c>
      <c r="E23" s="4" t="s">
        <v>171</v>
      </c>
      <c r="F23" t="s">
        <v>1939</v>
      </c>
      <c r="G23" s="4" t="s">
        <v>1952</v>
      </c>
      <c r="H23" t="s">
        <v>1912</v>
      </c>
      <c r="I23" s="4" t="s">
        <v>36</v>
      </c>
      <c r="J23">
        <v>39</v>
      </c>
      <c r="K23">
        <v>1000</v>
      </c>
      <c r="L23" t="s">
        <v>5</v>
      </c>
      <c r="M23" t="s">
        <v>37</v>
      </c>
      <c r="N23" t="s">
        <v>1953</v>
      </c>
      <c r="O23" t="s">
        <v>37</v>
      </c>
      <c r="P23" t="s">
        <v>1954</v>
      </c>
    </row>
    <row r="24" spans="1:16" x14ac:dyDescent="0.25">
      <c r="A24" s="4" t="s">
        <v>30</v>
      </c>
      <c r="B24" s="4" t="s">
        <v>1905</v>
      </c>
      <c r="C24" s="4" t="str">
        <f t="shared" si="0"/>
        <v>KIWF4_S7b</v>
      </c>
      <c r="D24" s="4" t="s">
        <v>1938</v>
      </c>
      <c r="E24" s="4" t="s">
        <v>174</v>
      </c>
      <c r="F24" t="s">
        <v>1939</v>
      </c>
      <c r="G24" s="4" t="s">
        <v>1955</v>
      </c>
      <c r="H24" t="s">
        <v>1912</v>
      </c>
      <c r="I24" s="4" t="s">
        <v>36</v>
      </c>
      <c r="J24">
        <v>39</v>
      </c>
      <c r="K24">
        <v>650</v>
      </c>
      <c r="L24" t="s">
        <v>5</v>
      </c>
      <c r="M24" t="s">
        <v>37</v>
      </c>
      <c r="N24" t="s">
        <v>1953</v>
      </c>
      <c r="O24" t="s">
        <v>37</v>
      </c>
      <c r="P24" t="s">
        <v>1956</v>
      </c>
    </row>
    <row r="25" spans="1:16" x14ac:dyDescent="0.25">
      <c r="A25" s="4" t="s">
        <v>30</v>
      </c>
      <c r="B25" s="4" t="s">
        <v>1905</v>
      </c>
      <c r="C25" s="4" t="str">
        <f t="shared" si="0"/>
        <v>KIWF4_S8</v>
      </c>
      <c r="D25" s="4" t="s">
        <v>1938</v>
      </c>
      <c r="E25" s="4">
        <v>8</v>
      </c>
      <c r="F25" t="s">
        <v>1939</v>
      </c>
      <c r="G25" s="4" t="s">
        <v>1957</v>
      </c>
      <c r="H25" t="s">
        <v>1912</v>
      </c>
      <c r="I25" s="4" t="s">
        <v>36</v>
      </c>
      <c r="J25">
        <v>39</v>
      </c>
      <c r="K25">
        <v>400</v>
      </c>
      <c r="L25" t="s">
        <v>5</v>
      </c>
      <c r="M25" t="s">
        <v>37</v>
      </c>
      <c r="N25" t="s">
        <v>1958</v>
      </c>
      <c r="O25" t="s">
        <v>37</v>
      </c>
      <c r="P25" t="s">
        <v>37</v>
      </c>
    </row>
    <row r="26" spans="1:16" x14ac:dyDescent="0.25">
      <c r="A26" s="4" t="s">
        <v>30</v>
      </c>
      <c r="B26" s="4" t="s">
        <v>1905</v>
      </c>
      <c r="C26" s="4" t="str">
        <f t="shared" si="0"/>
        <v>KIWF4_S9</v>
      </c>
      <c r="D26" s="4" t="s">
        <v>1938</v>
      </c>
      <c r="E26" s="4">
        <v>9</v>
      </c>
      <c r="F26" t="s">
        <v>1939</v>
      </c>
      <c r="G26" s="4" t="s">
        <v>233</v>
      </c>
      <c r="H26" t="s">
        <v>1912</v>
      </c>
      <c r="I26" s="4" t="s">
        <v>36</v>
      </c>
      <c r="J26">
        <v>39</v>
      </c>
      <c r="K26">
        <v>1000</v>
      </c>
      <c r="L26" t="s">
        <v>5</v>
      </c>
      <c r="M26" t="s">
        <v>37</v>
      </c>
      <c r="N26" t="s">
        <v>1959</v>
      </c>
      <c r="O26" t="s">
        <v>37</v>
      </c>
      <c r="P26" t="s">
        <v>37</v>
      </c>
    </row>
    <row r="27" spans="1:16" x14ac:dyDescent="0.25">
      <c r="A27" s="4" t="s">
        <v>30</v>
      </c>
      <c r="B27" s="4" t="s">
        <v>1905</v>
      </c>
      <c r="C27" s="4" t="str">
        <f t="shared" si="0"/>
        <v>KIWF5_S1</v>
      </c>
      <c r="D27" s="4" t="s">
        <v>1960</v>
      </c>
      <c r="E27" s="4">
        <v>1</v>
      </c>
      <c r="F27" t="s">
        <v>1961</v>
      </c>
      <c r="G27" s="4" t="s">
        <v>54</v>
      </c>
      <c r="H27" t="s">
        <v>1912</v>
      </c>
      <c r="I27" s="4" t="s">
        <v>36</v>
      </c>
      <c r="J27">
        <v>42</v>
      </c>
      <c r="K27">
        <v>0</v>
      </c>
      <c r="L27" t="s">
        <v>5</v>
      </c>
      <c r="M27" t="s">
        <v>37</v>
      </c>
      <c r="N27" t="s">
        <v>1962</v>
      </c>
      <c r="O27" t="s">
        <v>1963</v>
      </c>
      <c r="P27" t="s">
        <v>37</v>
      </c>
    </row>
    <row r="28" spans="1:16" x14ac:dyDescent="0.25">
      <c r="A28" s="4" t="s">
        <v>30</v>
      </c>
      <c r="B28" s="4" t="s">
        <v>1905</v>
      </c>
      <c r="C28" s="4" t="str">
        <f t="shared" si="0"/>
        <v>KIWF5_S2</v>
      </c>
      <c r="D28" s="4" t="s">
        <v>1960</v>
      </c>
      <c r="E28" s="4">
        <v>2</v>
      </c>
      <c r="F28" t="s">
        <v>1961</v>
      </c>
      <c r="G28" s="4" t="s">
        <v>1964</v>
      </c>
      <c r="H28" t="s">
        <v>1912</v>
      </c>
      <c r="I28" s="4" t="s">
        <v>36</v>
      </c>
      <c r="J28">
        <v>42</v>
      </c>
      <c r="K28">
        <v>600</v>
      </c>
      <c r="L28" t="s">
        <v>5</v>
      </c>
      <c r="M28" t="s">
        <v>37</v>
      </c>
      <c r="N28" t="s">
        <v>1939</v>
      </c>
      <c r="O28" t="s">
        <v>1963</v>
      </c>
      <c r="P28" t="s">
        <v>37</v>
      </c>
    </row>
    <row r="29" spans="1:16" x14ac:dyDescent="0.25">
      <c r="A29" s="4" t="s">
        <v>30</v>
      </c>
      <c r="B29" s="4" t="s">
        <v>1905</v>
      </c>
      <c r="C29" s="4" t="str">
        <f t="shared" si="0"/>
        <v>KIWF5_S3a</v>
      </c>
      <c r="D29" s="4" t="s">
        <v>1960</v>
      </c>
      <c r="E29" s="4" t="s">
        <v>40</v>
      </c>
      <c r="F29" t="s">
        <v>1961</v>
      </c>
      <c r="G29" s="4" t="s">
        <v>1965</v>
      </c>
      <c r="H29" t="s">
        <v>1912</v>
      </c>
      <c r="I29" s="4" t="s">
        <v>36</v>
      </c>
      <c r="J29">
        <v>42</v>
      </c>
      <c r="K29">
        <v>50</v>
      </c>
      <c r="L29" t="s">
        <v>5</v>
      </c>
      <c r="M29" t="s">
        <v>37</v>
      </c>
      <c r="N29" t="s">
        <v>1966</v>
      </c>
      <c r="O29" t="s">
        <v>37</v>
      </c>
      <c r="P29" t="s">
        <v>1967</v>
      </c>
    </row>
    <row r="30" spans="1:16" x14ac:dyDescent="0.25">
      <c r="A30" s="4" t="s">
        <v>30</v>
      </c>
      <c r="B30" s="4" t="s">
        <v>1905</v>
      </c>
      <c r="C30" s="4" t="str">
        <f t="shared" si="0"/>
        <v>KIWF5_S3b</v>
      </c>
      <c r="D30" s="4" t="s">
        <v>1960</v>
      </c>
      <c r="E30" s="4" t="s">
        <v>44</v>
      </c>
      <c r="F30" t="s">
        <v>1961</v>
      </c>
      <c r="G30" s="4" t="s">
        <v>1968</v>
      </c>
      <c r="H30" t="s">
        <v>1912</v>
      </c>
      <c r="I30" s="4" t="s">
        <v>36</v>
      </c>
      <c r="J30">
        <v>42</v>
      </c>
      <c r="K30">
        <v>40</v>
      </c>
      <c r="L30" t="s">
        <v>5</v>
      </c>
      <c r="M30" t="s">
        <v>37</v>
      </c>
      <c r="N30" t="s">
        <v>1966</v>
      </c>
      <c r="O30" t="s">
        <v>37</v>
      </c>
      <c r="P30" t="s">
        <v>1969</v>
      </c>
    </row>
    <row r="31" spans="1:16" x14ac:dyDescent="0.25">
      <c r="A31" s="4" t="s">
        <v>30</v>
      </c>
      <c r="B31" s="4" t="s">
        <v>1905</v>
      </c>
      <c r="C31" s="4" t="str">
        <f t="shared" si="0"/>
        <v>KIWF5_S4</v>
      </c>
      <c r="D31" s="4" t="s">
        <v>1960</v>
      </c>
      <c r="E31" s="4">
        <v>4</v>
      </c>
      <c r="F31" t="s">
        <v>1961</v>
      </c>
      <c r="G31" s="4" t="s">
        <v>1970</v>
      </c>
      <c r="H31" t="s">
        <v>1912</v>
      </c>
      <c r="I31" s="4" t="s">
        <v>36</v>
      </c>
      <c r="J31">
        <v>42</v>
      </c>
      <c r="K31">
        <v>600</v>
      </c>
      <c r="L31" t="s">
        <v>5</v>
      </c>
      <c r="M31" t="s">
        <v>37</v>
      </c>
      <c r="N31" t="s">
        <v>1971</v>
      </c>
      <c r="O31" t="s">
        <v>37</v>
      </c>
      <c r="P31" t="s">
        <v>37</v>
      </c>
    </row>
    <row r="32" spans="1:16" x14ac:dyDescent="0.25">
      <c r="A32" s="4" t="s">
        <v>30</v>
      </c>
      <c r="B32" s="4" t="s">
        <v>1905</v>
      </c>
      <c r="C32" s="4" t="str">
        <f t="shared" si="0"/>
        <v>KIWF5_S5</v>
      </c>
      <c r="D32" s="4" t="s">
        <v>1960</v>
      </c>
      <c r="E32" s="4">
        <v>5</v>
      </c>
      <c r="F32" t="s">
        <v>1961</v>
      </c>
      <c r="G32" s="4" t="s">
        <v>233</v>
      </c>
      <c r="H32" t="s">
        <v>1912</v>
      </c>
      <c r="I32" s="4" t="s">
        <v>36</v>
      </c>
      <c r="J32">
        <v>42</v>
      </c>
      <c r="K32">
        <v>1000</v>
      </c>
      <c r="L32" t="s">
        <v>5</v>
      </c>
      <c r="M32" t="s">
        <v>37</v>
      </c>
      <c r="N32" t="s">
        <v>1972</v>
      </c>
      <c r="O32" t="s">
        <v>37</v>
      </c>
      <c r="P32" t="s">
        <v>37</v>
      </c>
    </row>
    <row r="33" spans="1:16" x14ac:dyDescent="0.25">
      <c r="A33" s="4" t="s">
        <v>30</v>
      </c>
      <c r="B33" s="4" t="s">
        <v>1905</v>
      </c>
      <c r="C33" s="4" t="str">
        <f t="shared" si="0"/>
        <v>KIWF6_S1</v>
      </c>
      <c r="D33" s="4" t="s">
        <v>1973</v>
      </c>
      <c r="E33" s="4">
        <v>1</v>
      </c>
      <c r="F33" t="s">
        <v>1974</v>
      </c>
      <c r="G33" s="4" t="s">
        <v>54</v>
      </c>
      <c r="H33" t="s">
        <v>1912</v>
      </c>
      <c r="I33" s="4" t="s">
        <v>36</v>
      </c>
      <c r="J33">
        <v>42</v>
      </c>
      <c r="K33">
        <v>0</v>
      </c>
      <c r="L33" t="s">
        <v>5</v>
      </c>
      <c r="M33" t="s">
        <v>37</v>
      </c>
      <c r="N33" t="s">
        <v>1975</v>
      </c>
      <c r="O33" t="s">
        <v>1976</v>
      </c>
      <c r="P33" t="s">
        <v>37</v>
      </c>
    </row>
    <row r="34" spans="1:16" x14ac:dyDescent="0.25">
      <c r="A34" s="4" t="s">
        <v>30</v>
      </c>
      <c r="B34" s="4" t="s">
        <v>1905</v>
      </c>
      <c r="C34" s="4" t="str">
        <f t="shared" si="0"/>
        <v>KIWF6_S2</v>
      </c>
      <c r="D34" s="4" t="s">
        <v>1973</v>
      </c>
      <c r="E34" s="4">
        <v>2</v>
      </c>
      <c r="F34" t="s">
        <v>1974</v>
      </c>
      <c r="G34" s="4" t="s">
        <v>1977</v>
      </c>
      <c r="H34" t="s">
        <v>1912</v>
      </c>
      <c r="I34" s="4" t="s">
        <v>36</v>
      </c>
      <c r="J34">
        <v>42</v>
      </c>
      <c r="K34">
        <v>450</v>
      </c>
      <c r="L34" t="s">
        <v>5</v>
      </c>
      <c r="M34" t="s">
        <v>37</v>
      </c>
      <c r="N34" t="s">
        <v>1961</v>
      </c>
      <c r="O34" t="s">
        <v>1976</v>
      </c>
      <c r="P34" t="s">
        <v>37</v>
      </c>
    </row>
    <row r="35" spans="1:16" x14ac:dyDescent="0.25">
      <c r="A35" s="4" t="s">
        <v>30</v>
      </c>
      <c r="B35" s="4" t="s">
        <v>1905</v>
      </c>
      <c r="C35" s="4" t="str">
        <f t="shared" si="0"/>
        <v>KIWF6_S3</v>
      </c>
      <c r="D35" s="4" t="s">
        <v>1973</v>
      </c>
      <c r="E35" s="4">
        <v>3</v>
      </c>
      <c r="F35" t="s">
        <v>1974</v>
      </c>
      <c r="G35" s="4" t="s">
        <v>1978</v>
      </c>
      <c r="H35" t="s">
        <v>1912</v>
      </c>
      <c r="I35" s="4" t="s">
        <v>36</v>
      </c>
      <c r="J35">
        <v>42</v>
      </c>
      <c r="K35">
        <v>600</v>
      </c>
      <c r="L35" t="s">
        <v>5</v>
      </c>
      <c r="M35" t="s">
        <v>37</v>
      </c>
      <c r="N35" t="s">
        <v>1979</v>
      </c>
      <c r="O35" t="s">
        <v>37</v>
      </c>
      <c r="P35" t="s">
        <v>37</v>
      </c>
    </row>
    <row r="36" spans="1:16" x14ac:dyDescent="0.25">
      <c r="A36" s="4" t="s">
        <v>30</v>
      </c>
      <c r="B36" s="4" t="s">
        <v>1905</v>
      </c>
      <c r="C36" s="4" t="str">
        <f t="shared" si="0"/>
        <v>KIWF6_S4</v>
      </c>
      <c r="D36" s="4" t="s">
        <v>1973</v>
      </c>
      <c r="E36" s="4">
        <v>4</v>
      </c>
      <c r="F36" t="s">
        <v>1974</v>
      </c>
      <c r="G36" s="4" t="s">
        <v>1980</v>
      </c>
      <c r="H36" t="s">
        <v>1912</v>
      </c>
      <c r="I36" s="4" t="s">
        <v>36</v>
      </c>
      <c r="J36">
        <v>42</v>
      </c>
      <c r="K36">
        <v>1500</v>
      </c>
      <c r="L36" t="s">
        <v>5</v>
      </c>
      <c r="M36" t="s">
        <v>37</v>
      </c>
      <c r="N36" t="s">
        <v>1981</v>
      </c>
      <c r="O36" t="s">
        <v>37</v>
      </c>
      <c r="P36" t="s">
        <v>37</v>
      </c>
    </row>
    <row r="37" spans="1:16" x14ac:dyDescent="0.25">
      <c r="A37" s="4" t="s">
        <v>30</v>
      </c>
      <c r="B37" s="4" t="s">
        <v>1905</v>
      </c>
      <c r="C37" s="4" t="str">
        <f t="shared" si="0"/>
        <v>KIWF7_S1</v>
      </c>
      <c r="D37" s="4" t="s">
        <v>1982</v>
      </c>
      <c r="E37" s="4">
        <v>1</v>
      </c>
      <c r="F37" t="s">
        <v>1983</v>
      </c>
      <c r="G37" s="4" t="s">
        <v>54</v>
      </c>
      <c r="H37" t="s">
        <v>1912</v>
      </c>
      <c r="I37" s="4" t="s">
        <v>36</v>
      </c>
      <c r="J37">
        <v>43</v>
      </c>
      <c r="K37">
        <v>0</v>
      </c>
      <c r="L37" t="s">
        <v>5</v>
      </c>
      <c r="M37" t="s">
        <v>37</v>
      </c>
      <c r="N37" t="s">
        <v>1984</v>
      </c>
      <c r="O37" t="s">
        <v>1985</v>
      </c>
      <c r="P37" t="s">
        <v>37</v>
      </c>
    </row>
    <row r="38" spans="1:16" x14ac:dyDescent="0.25">
      <c r="A38" s="4" t="s">
        <v>30</v>
      </c>
      <c r="B38" s="4" t="s">
        <v>1905</v>
      </c>
      <c r="C38" s="4" t="str">
        <f t="shared" si="0"/>
        <v>KIWF7_S2</v>
      </c>
      <c r="D38" s="4" t="s">
        <v>1982</v>
      </c>
      <c r="E38" s="4">
        <v>2</v>
      </c>
      <c r="F38" t="s">
        <v>1983</v>
      </c>
      <c r="G38" s="4" t="s">
        <v>49</v>
      </c>
      <c r="H38" t="s">
        <v>1912</v>
      </c>
      <c r="I38" s="4" t="s">
        <v>36</v>
      </c>
      <c r="J38">
        <v>43</v>
      </c>
      <c r="K38">
        <v>1500</v>
      </c>
      <c r="L38" t="s">
        <v>5</v>
      </c>
      <c r="M38" t="s">
        <v>37</v>
      </c>
      <c r="N38" t="s">
        <v>1986</v>
      </c>
      <c r="O38" t="s">
        <v>1985</v>
      </c>
      <c r="P38" t="s">
        <v>37</v>
      </c>
    </row>
    <row r="39" spans="1:16" x14ac:dyDescent="0.25">
      <c r="A39" s="4" t="s">
        <v>30</v>
      </c>
      <c r="B39" s="4" t="s">
        <v>1905</v>
      </c>
      <c r="C39" s="4" t="str">
        <f t="shared" si="0"/>
        <v>KIWF8_S1</v>
      </c>
      <c r="D39" s="4" t="s">
        <v>1987</v>
      </c>
      <c r="E39" s="4">
        <v>1</v>
      </c>
      <c r="F39" t="s">
        <v>1988</v>
      </c>
      <c r="G39" s="4" t="s">
        <v>54</v>
      </c>
      <c r="H39" t="s">
        <v>1912</v>
      </c>
      <c r="I39" s="4" t="s">
        <v>36</v>
      </c>
      <c r="J39">
        <v>47</v>
      </c>
      <c r="K39">
        <v>0</v>
      </c>
      <c r="L39" t="s">
        <v>5</v>
      </c>
      <c r="M39" t="s">
        <v>37</v>
      </c>
      <c r="N39" t="s">
        <v>1989</v>
      </c>
      <c r="O39" t="s">
        <v>1990</v>
      </c>
      <c r="P39" t="s">
        <v>37</v>
      </c>
    </row>
    <row r="40" spans="1:16" x14ac:dyDescent="0.25">
      <c r="A40" s="4" t="s">
        <v>30</v>
      </c>
      <c r="B40" s="4" t="s">
        <v>1905</v>
      </c>
      <c r="C40" s="4" t="str">
        <f t="shared" si="0"/>
        <v>KIWF8_S2</v>
      </c>
      <c r="D40" s="4" t="s">
        <v>1987</v>
      </c>
      <c r="E40" s="4">
        <v>2</v>
      </c>
      <c r="F40" t="s">
        <v>1988</v>
      </c>
      <c r="G40" s="4" t="s">
        <v>1991</v>
      </c>
      <c r="H40" t="s">
        <v>1912</v>
      </c>
      <c r="I40" s="4" t="s">
        <v>36</v>
      </c>
      <c r="J40">
        <v>47</v>
      </c>
      <c r="K40">
        <v>500</v>
      </c>
      <c r="L40" t="s">
        <v>5</v>
      </c>
      <c r="M40" t="s">
        <v>37</v>
      </c>
      <c r="N40" t="s">
        <v>1983</v>
      </c>
      <c r="O40" t="s">
        <v>1990</v>
      </c>
      <c r="P40" t="s">
        <v>37</v>
      </c>
    </row>
    <row r="41" spans="1:16" x14ac:dyDescent="0.25">
      <c r="A41" s="4" t="s">
        <v>30</v>
      </c>
      <c r="B41" s="4" t="s">
        <v>1905</v>
      </c>
      <c r="C41" s="4" t="str">
        <f t="shared" si="0"/>
        <v>KIWF8_S3</v>
      </c>
      <c r="D41" s="4" t="s">
        <v>1987</v>
      </c>
      <c r="E41" s="4">
        <v>3</v>
      </c>
      <c r="F41" t="s">
        <v>1988</v>
      </c>
      <c r="G41" s="4" t="s">
        <v>1992</v>
      </c>
      <c r="H41" t="s">
        <v>1912</v>
      </c>
      <c r="I41" s="4" t="s">
        <v>36</v>
      </c>
      <c r="J41">
        <v>47</v>
      </c>
      <c r="K41">
        <v>500</v>
      </c>
      <c r="L41" t="s">
        <v>5</v>
      </c>
      <c r="M41" t="s">
        <v>37</v>
      </c>
      <c r="N41" t="s">
        <v>1993</v>
      </c>
      <c r="O41" t="s">
        <v>1990</v>
      </c>
      <c r="P41" t="s">
        <v>37</v>
      </c>
    </row>
    <row r="42" spans="1:16" x14ac:dyDescent="0.25">
      <c r="A42" s="4" t="s">
        <v>30</v>
      </c>
      <c r="B42" s="4" t="s">
        <v>1905</v>
      </c>
      <c r="C42" s="4" t="str">
        <f t="shared" si="0"/>
        <v>KIWF8_S4</v>
      </c>
      <c r="D42" s="4" t="s">
        <v>1987</v>
      </c>
      <c r="E42" s="4">
        <v>4</v>
      </c>
      <c r="F42" t="s">
        <v>1988</v>
      </c>
      <c r="G42" s="4" t="s">
        <v>1994</v>
      </c>
      <c r="H42" t="s">
        <v>1912</v>
      </c>
      <c r="I42" s="4" t="s">
        <v>36</v>
      </c>
      <c r="J42">
        <v>47</v>
      </c>
      <c r="K42">
        <v>500</v>
      </c>
      <c r="L42" t="s">
        <v>5</v>
      </c>
      <c r="M42" t="s">
        <v>37</v>
      </c>
      <c r="N42" t="s">
        <v>1995</v>
      </c>
      <c r="O42" t="s">
        <v>1990</v>
      </c>
      <c r="P42" t="s">
        <v>37</v>
      </c>
    </row>
    <row r="43" spans="1:16" x14ac:dyDescent="0.25">
      <c r="A43" s="4" t="s">
        <v>30</v>
      </c>
      <c r="B43" s="4" t="s">
        <v>1905</v>
      </c>
      <c r="C43" s="4" t="str">
        <f t="shared" si="0"/>
        <v>KIWF8_S5</v>
      </c>
      <c r="D43" s="4" t="s">
        <v>1987</v>
      </c>
      <c r="E43" s="4">
        <v>5</v>
      </c>
      <c r="F43" t="s">
        <v>1988</v>
      </c>
      <c r="G43" s="4" t="s">
        <v>49</v>
      </c>
      <c r="H43" t="s">
        <v>1912</v>
      </c>
      <c r="I43" s="4" t="s">
        <v>36</v>
      </c>
      <c r="J43">
        <v>47</v>
      </c>
      <c r="K43">
        <v>1500</v>
      </c>
      <c r="L43" t="s">
        <v>5</v>
      </c>
      <c r="M43" t="s">
        <v>37</v>
      </c>
      <c r="N43" t="s">
        <v>1996</v>
      </c>
      <c r="O43" t="s">
        <v>1990</v>
      </c>
      <c r="P43" t="s">
        <v>37</v>
      </c>
    </row>
    <row r="44" spans="1:16" x14ac:dyDescent="0.25">
      <c r="A44" s="4" t="s">
        <v>30</v>
      </c>
      <c r="B44" s="4" t="s">
        <v>1905</v>
      </c>
      <c r="C44" s="4" t="str">
        <f t="shared" si="0"/>
        <v>KIWF9_S1</v>
      </c>
      <c r="D44" s="4" t="s">
        <v>1997</v>
      </c>
      <c r="E44" s="4">
        <v>1</v>
      </c>
      <c r="F44" t="s">
        <v>1998</v>
      </c>
      <c r="G44" s="4" t="s">
        <v>54</v>
      </c>
      <c r="H44" t="s">
        <v>1912</v>
      </c>
      <c r="I44" s="4" t="s">
        <v>36</v>
      </c>
      <c r="J44">
        <v>47</v>
      </c>
      <c r="K44">
        <v>0</v>
      </c>
      <c r="L44" t="s">
        <v>5</v>
      </c>
      <c r="M44" t="s">
        <v>37</v>
      </c>
      <c r="N44" t="s">
        <v>1999</v>
      </c>
      <c r="O44" t="s">
        <v>1990</v>
      </c>
      <c r="P44" t="s">
        <v>37</v>
      </c>
    </row>
    <row r="45" spans="1:16" x14ac:dyDescent="0.25">
      <c r="A45" s="4" t="s">
        <v>30</v>
      </c>
      <c r="B45" s="4" t="s">
        <v>1905</v>
      </c>
      <c r="C45" s="4" t="str">
        <f t="shared" si="0"/>
        <v>KIWF9_S2</v>
      </c>
      <c r="D45" s="4" t="s">
        <v>1997</v>
      </c>
      <c r="E45" s="4">
        <v>2</v>
      </c>
      <c r="F45" t="s">
        <v>1998</v>
      </c>
      <c r="G45" s="4" t="s">
        <v>2000</v>
      </c>
      <c r="H45" t="s">
        <v>1912</v>
      </c>
      <c r="I45" s="4" t="s">
        <v>36</v>
      </c>
      <c r="J45">
        <v>47</v>
      </c>
      <c r="K45">
        <v>200</v>
      </c>
      <c r="L45" t="s">
        <v>5</v>
      </c>
      <c r="M45" t="s">
        <v>37</v>
      </c>
      <c r="N45" t="s">
        <v>2001</v>
      </c>
      <c r="O45" t="s">
        <v>1990</v>
      </c>
      <c r="P45" t="s">
        <v>37</v>
      </c>
    </row>
    <row r="46" spans="1:16" x14ac:dyDescent="0.25">
      <c r="A46" s="4" t="s">
        <v>30</v>
      </c>
      <c r="B46" s="4" t="s">
        <v>1905</v>
      </c>
      <c r="C46" s="4" t="str">
        <f t="shared" si="0"/>
        <v>KIWF9_S3</v>
      </c>
      <c r="D46" s="4" t="s">
        <v>1997</v>
      </c>
      <c r="E46" s="4">
        <v>3</v>
      </c>
      <c r="F46" t="s">
        <v>1998</v>
      </c>
      <c r="G46" s="4" t="s">
        <v>2002</v>
      </c>
      <c r="H46" t="s">
        <v>1912</v>
      </c>
      <c r="I46" s="4" t="s">
        <v>36</v>
      </c>
      <c r="J46">
        <v>47</v>
      </c>
      <c r="K46">
        <v>200</v>
      </c>
      <c r="L46" t="s">
        <v>5</v>
      </c>
      <c r="M46" t="s">
        <v>37</v>
      </c>
      <c r="N46" t="s">
        <v>2003</v>
      </c>
      <c r="O46" t="s">
        <v>1990</v>
      </c>
      <c r="P46" t="s">
        <v>37</v>
      </c>
    </row>
    <row r="47" spans="1:16" x14ac:dyDescent="0.25">
      <c r="A47" s="4" t="s">
        <v>30</v>
      </c>
      <c r="B47" s="4" t="s">
        <v>1905</v>
      </c>
      <c r="C47" s="4" t="str">
        <f t="shared" si="0"/>
        <v>KIWF9_S4</v>
      </c>
      <c r="D47" s="4" t="s">
        <v>1997</v>
      </c>
      <c r="E47" s="4">
        <v>4</v>
      </c>
      <c r="F47" t="s">
        <v>1998</v>
      </c>
      <c r="G47" s="4" t="s">
        <v>2004</v>
      </c>
      <c r="H47" t="s">
        <v>1912</v>
      </c>
      <c r="I47" s="4" t="s">
        <v>36</v>
      </c>
      <c r="J47">
        <v>47</v>
      </c>
      <c r="K47">
        <v>200</v>
      </c>
      <c r="L47" t="s">
        <v>5</v>
      </c>
      <c r="M47" t="s">
        <v>37</v>
      </c>
      <c r="N47" t="s">
        <v>2005</v>
      </c>
      <c r="O47" t="s">
        <v>1990</v>
      </c>
      <c r="P47" t="s">
        <v>37</v>
      </c>
    </row>
    <row r="48" spans="1:16" x14ac:dyDescent="0.25">
      <c r="A48" s="4" t="s">
        <v>30</v>
      </c>
      <c r="B48" s="4" t="s">
        <v>1905</v>
      </c>
      <c r="C48" s="4" t="str">
        <f t="shared" si="0"/>
        <v>KIWF10_S1</v>
      </c>
      <c r="D48" s="4" t="s">
        <v>2006</v>
      </c>
      <c r="E48" s="4">
        <v>1</v>
      </c>
      <c r="F48" t="s">
        <v>2007</v>
      </c>
      <c r="G48" s="4" t="s">
        <v>54</v>
      </c>
      <c r="H48" t="s">
        <v>1912</v>
      </c>
      <c r="I48" s="4" t="s">
        <v>36</v>
      </c>
      <c r="J48">
        <v>47</v>
      </c>
      <c r="K48">
        <v>0</v>
      </c>
      <c r="L48" t="s">
        <v>5</v>
      </c>
      <c r="M48" t="s">
        <v>37</v>
      </c>
      <c r="N48" t="s">
        <v>2008</v>
      </c>
      <c r="O48" t="s">
        <v>1990</v>
      </c>
      <c r="P48" t="s">
        <v>37</v>
      </c>
    </row>
    <row r="49" spans="1:16" x14ac:dyDescent="0.25">
      <c r="A49" s="4" t="s">
        <v>30</v>
      </c>
      <c r="B49" s="4" t="s">
        <v>1905</v>
      </c>
      <c r="C49" s="4" t="str">
        <f t="shared" si="0"/>
        <v>KIWF10_S2</v>
      </c>
      <c r="D49" s="4" t="s">
        <v>2006</v>
      </c>
      <c r="E49" s="4">
        <v>2</v>
      </c>
      <c r="F49" t="s">
        <v>2007</v>
      </c>
      <c r="G49" s="4" t="s">
        <v>2009</v>
      </c>
      <c r="H49" t="s">
        <v>1912</v>
      </c>
      <c r="I49" s="4" t="s">
        <v>36</v>
      </c>
      <c r="J49">
        <v>47</v>
      </c>
      <c r="K49">
        <v>100</v>
      </c>
      <c r="L49" t="s">
        <v>5</v>
      </c>
      <c r="M49" t="s">
        <v>37</v>
      </c>
      <c r="N49" t="s">
        <v>2010</v>
      </c>
      <c r="O49" t="s">
        <v>1990</v>
      </c>
      <c r="P49" t="s">
        <v>37</v>
      </c>
    </row>
    <row r="50" spans="1:16" x14ac:dyDescent="0.25">
      <c r="A50" s="4" t="s">
        <v>30</v>
      </c>
      <c r="B50" s="4" t="s">
        <v>1905</v>
      </c>
      <c r="C50" s="4" t="str">
        <f t="shared" si="0"/>
        <v>KIWF10_S3</v>
      </c>
      <c r="D50" s="4" t="s">
        <v>2006</v>
      </c>
      <c r="E50" s="4">
        <v>3</v>
      </c>
      <c r="F50" t="s">
        <v>2007</v>
      </c>
      <c r="G50" s="4" t="s">
        <v>2011</v>
      </c>
      <c r="H50" t="s">
        <v>1912</v>
      </c>
      <c r="I50" s="4" t="s">
        <v>36</v>
      </c>
      <c r="J50">
        <v>47</v>
      </c>
      <c r="K50">
        <v>200</v>
      </c>
      <c r="L50" t="s">
        <v>5</v>
      </c>
      <c r="M50" t="s">
        <v>37</v>
      </c>
      <c r="N50" t="s">
        <v>2012</v>
      </c>
      <c r="O50" t="s">
        <v>1990</v>
      </c>
      <c r="P50" t="s">
        <v>37</v>
      </c>
    </row>
    <row r="51" spans="1:16" x14ac:dyDescent="0.25">
      <c r="A51" s="4" t="s">
        <v>30</v>
      </c>
      <c r="B51" s="4" t="s">
        <v>1905</v>
      </c>
      <c r="C51" s="4" t="str">
        <f t="shared" si="0"/>
        <v>KIWF10_S4</v>
      </c>
      <c r="D51" s="4" t="s">
        <v>2006</v>
      </c>
      <c r="E51" s="4">
        <v>4</v>
      </c>
      <c r="F51" t="s">
        <v>2007</v>
      </c>
      <c r="G51" s="4" t="s">
        <v>2013</v>
      </c>
      <c r="H51" t="s">
        <v>1912</v>
      </c>
      <c r="I51" s="4" t="s">
        <v>36</v>
      </c>
      <c r="J51">
        <v>47</v>
      </c>
      <c r="K51">
        <v>800</v>
      </c>
      <c r="L51" t="s">
        <v>5</v>
      </c>
      <c r="M51" t="s">
        <v>37</v>
      </c>
      <c r="N51" t="s">
        <v>2014</v>
      </c>
      <c r="O51" t="s">
        <v>1990</v>
      </c>
      <c r="P51" t="s">
        <v>37</v>
      </c>
    </row>
    <row r="52" spans="1:16" x14ac:dyDescent="0.25">
      <c r="A52" s="4" t="s">
        <v>30</v>
      </c>
      <c r="B52" s="4" t="s">
        <v>1905</v>
      </c>
      <c r="C52" s="4" t="str">
        <f t="shared" si="0"/>
        <v>KIWF11_S1</v>
      </c>
      <c r="D52" s="4" t="s">
        <v>2015</v>
      </c>
      <c r="E52" s="4">
        <v>1</v>
      </c>
      <c r="F52" t="s">
        <v>2016</v>
      </c>
      <c r="G52" s="4" t="s">
        <v>54</v>
      </c>
      <c r="H52" t="s">
        <v>1912</v>
      </c>
      <c r="I52" s="4" t="s">
        <v>36</v>
      </c>
      <c r="J52">
        <v>47</v>
      </c>
      <c r="K52">
        <v>0</v>
      </c>
      <c r="L52" t="s">
        <v>5</v>
      </c>
      <c r="M52" t="s">
        <v>37</v>
      </c>
      <c r="N52" t="s">
        <v>2017</v>
      </c>
      <c r="O52" t="s">
        <v>1990</v>
      </c>
      <c r="P52" t="s">
        <v>37</v>
      </c>
    </row>
    <row r="53" spans="1:16" x14ac:dyDescent="0.25">
      <c r="A53" s="4" t="s">
        <v>30</v>
      </c>
      <c r="B53" s="4" t="s">
        <v>1905</v>
      </c>
      <c r="C53" s="4" t="str">
        <f t="shared" si="0"/>
        <v>KIWF11_S2</v>
      </c>
      <c r="D53" s="4" t="s">
        <v>2015</v>
      </c>
      <c r="E53" s="4">
        <v>2</v>
      </c>
      <c r="F53" t="s">
        <v>2016</v>
      </c>
      <c r="G53" s="4" t="s">
        <v>2018</v>
      </c>
      <c r="H53" t="s">
        <v>1912</v>
      </c>
      <c r="I53" s="4" t="s">
        <v>36</v>
      </c>
      <c r="J53">
        <v>47</v>
      </c>
      <c r="K53">
        <v>250</v>
      </c>
      <c r="L53" t="s">
        <v>5</v>
      </c>
      <c r="M53" t="s">
        <v>37</v>
      </c>
      <c r="N53" t="s">
        <v>2019</v>
      </c>
      <c r="O53" t="s">
        <v>1990</v>
      </c>
      <c r="P53" t="s">
        <v>37</v>
      </c>
    </row>
    <row r="54" spans="1:16" x14ac:dyDescent="0.25">
      <c r="A54" s="4" t="s">
        <v>30</v>
      </c>
      <c r="B54" s="4" t="s">
        <v>1905</v>
      </c>
      <c r="C54" s="4" t="str">
        <f t="shared" si="0"/>
        <v>KIWF11_S3</v>
      </c>
      <c r="D54" s="4" t="s">
        <v>2015</v>
      </c>
      <c r="E54" s="4">
        <v>3</v>
      </c>
      <c r="F54" t="s">
        <v>2016</v>
      </c>
      <c r="G54" s="4" t="s">
        <v>2020</v>
      </c>
      <c r="H54" t="s">
        <v>1912</v>
      </c>
      <c r="I54" s="4" t="s">
        <v>36</v>
      </c>
      <c r="J54">
        <v>47</v>
      </c>
      <c r="K54">
        <v>500</v>
      </c>
      <c r="L54" t="s">
        <v>5</v>
      </c>
      <c r="M54" t="s">
        <v>37</v>
      </c>
      <c r="N54" t="s">
        <v>2021</v>
      </c>
      <c r="O54" t="s">
        <v>1990</v>
      </c>
      <c r="P54" t="s">
        <v>37</v>
      </c>
    </row>
    <row r="55" spans="1:16" x14ac:dyDescent="0.25">
      <c r="A55" s="4" t="s">
        <v>30</v>
      </c>
      <c r="B55" s="4" t="s">
        <v>1905</v>
      </c>
      <c r="C55" s="4" t="str">
        <f t="shared" si="0"/>
        <v>KIWF11_S4</v>
      </c>
      <c r="D55" s="4" t="s">
        <v>2015</v>
      </c>
      <c r="E55" s="4">
        <v>4</v>
      </c>
      <c r="F55" t="s">
        <v>2016</v>
      </c>
      <c r="G55" s="4" t="s">
        <v>2022</v>
      </c>
      <c r="H55" t="s">
        <v>1912</v>
      </c>
      <c r="I55" s="4" t="s">
        <v>36</v>
      </c>
      <c r="J55">
        <v>47</v>
      </c>
      <c r="K55">
        <v>800</v>
      </c>
      <c r="L55" t="s">
        <v>5</v>
      </c>
      <c r="M55" t="s">
        <v>37</v>
      </c>
      <c r="N55" t="s">
        <v>2023</v>
      </c>
      <c r="O55" t="s">
        <v>1990</v>
      </c>
      <c r="P55" t="s">
        <v>37</v>
      </c>
    </row>
    <row r="56" spans="1:16" x14ac:dyDescent="0.25">
      <c r="A56" s="4" t="s">
        <v>30</v>
      </c>
      <c r="B56" s="4" t="s">
        <v>1905</v>
      </c>
      <c r="C56" s="4" t="str">
        <f t="shared" si="0"/>
        <v>KIWF11_S5</v>
      </c>
      <c r="D56" s="4" t="s">
        <v>2015</v>
      </c>
      <c r="E56" s="4">
        <v>5</v>
      </c>
      <c r="F56" t="s">
        <v>2016</v>
      </c>
      <c r="G56" s="4" t="s">
        <v>233</v>
      </c>
      <c r="H56" t="s">
        <v>1912</v>
      </c>
      <c r="I56" s="4" t="s">
        <v>36</v>
      </c>
      <c r="J56">
        <v>47</v>
      </c>
      <c r="K56">
        <v>800</v>
      </c>
      <c r="L56" t="s">
        <v>5</v>
      </c>
      <c r="M56" t="s">
        <v>37</v>
      </c>
      <c r="N56" t="s">
        <v>2024</v>
      </c>
      <c r="O56" t="s">
        <v>1990</v>
      </c>
      <c r="P56" t="s">
        <v>37</v>
      </c>
    </row>
    <row r="57" spans="1:16" x14ac:dyDescent="0.25">
      <c r="A57" s="4" t="s">
        <v>30</v>
      </c>
      <c r="B57" s="4" t="s">
        <v>1905</v>
      </c>
      <c r="C57" s="4" t="str">
        <f t="shared" si="0"/>
        <v>KIWF12_S1</v>
      </c>
      <c r="D57" s="4" t="s">
        <v>2025</v>
      </c>
      <c r="E57" s="4">
        <v>1</v>
      </c>
      <c r="F57" t="s">
        <v>2026</v>
      </c>
      <c r="G57" s="4" t="s">
        <v>54</v>
      </c>
      <c r="H57" t="s">
        <v>1912</v>
      </c>
      <c r="I57" s="4" t="s">
        <v>36</v>
      </c>
      <c r="J57">
        <v>47</v>
      </c>
      <c r="K57">
        <v>0</v>
      </c>
      <c r="L57" t="s">
        <v>5</v>
      </c>
      <c r="M57" t="s">
        <v>37</v>
      </c>
      <c r="N57" t="s">
        <v>2027</v>
      </c>
      <c r="O57" t="s">
        <v>1990</v>
      </c>
      <c r="P57" t="s">
        <v>37</v>
      </c>
    </row>
    <row r="58" spans="1:16" x14ac:dyDescent="0.25">
      <c r="A58" s="4" t="s">
        <v>30</v>
      </c>
      <c r="B58" s="4" t="s">
        <v>1905</v>
      </c>
      <c r="C58" s="4" t="str">
        <f t="shared" si="0"/>
        <v>KIWF12_S2</v>
      </c>
      <c r="D58" s="4" t="s">
        <v>2025</v>
      </c>
      <c r="E58" s="4">
        <v>2</v>
      </c>
      <c r="F58" t="s">
        <v>2026</v>
      </c>
      <c r="G58" s="4" t="s">
        <v>2028</v>
      </c>
      <c r="H58" t="s">
        <v>1912</v>
      </c>
      <c r="I58" s="4" t="s">
        <v>36</v>
      </c>
      <c r="J58">
        <v>47</v>
      </c>
      <c r="K58">
        <v>300</v>
      </c>
      <c r="L58" t="s">
        <v>5</v>
      </c>
      <c r="M58" t="s">
        <v>37</v>
      </c>
      <c r="N58" t="s">
        <v>2029</v>
      </c>
      <c r="O58" t="s">
        <v>1990</v>
      </c>
      <c r="P58" t="s">
        <v>37</v>
      </c>
    </row>
    <row r="59" spans="1:16" x14ac:dyDescent="0.25">
      <c r="A59" s="4" t="s">
        <v>30</v>
      </c>
      <c r="B59" s="4" t="s">
        <v>1905</v>
      </c>
      <c r="C59" s="4" t="str">
        <f t="shared" si="0"/>
        <v>KIWF12_S3</v>
      </c>
      <c r="D59" s="4" t="s">
        <v>2025</v>
      </c>
      <c r="E59" s="4">
        <v>3</v>
      </c>
      <c r="F59" t="s">
        <v>2026</v>
      </c>
      <c r="G59" s="4" t="s">
        <v>2030</v>
      </c>
      <c r="H59" t="s">
        <v>1912</v>
      </c>
      <c r="I59" s="4" t="s">
        <v>36</v>
      </c>
      <c r="J59">
        <v>47</v>
      </c>
      <c r="K59">
        <v>200</v>
      </c>
      <c r="L59" t="s">
        <v>5</v>
      </c>
      <c r="M59" t="s">
        <v>37</v>
      </c>
      <c r="N59" t="s">
        <v>2031</v>
      </c>
      <c r="O59" t="s">
        <v>1990</v>
      </c>
      <c r="P59" t="s">
        <v>37</v>
      </c>
    </row>
    <row r="60" spans="1:16" x14ac:dyDescent="0.25">
      <c r="A60" s="4" t="s">
        <v>30</v>
      </c>
      <c r="B60" s="4" t="s">
        <v>1905</v>
      </c>
      <c r="C60" s="4" t="str">
        <f t="shared" si="0"/>
        <v>KIWF12_S4</v>
      </c>
      <c r="D60" s="4" t="s">
        <v>2025</v>
      </c>
      <c r="E60" s="4">
        <v>4</v>
      </c>
      <c r="F60" t="s">
        <v>2026</v>
      </c>
      <c r="G60" s="4" t="s">
        <v>2032</v>
      </c>
      <c r="H60" t="s">
        <v>1912</v>
      </c>
      <c r="I60" s="4" t="s">
        <v>36</v>
      </c>
      <c r="J60">
        <v>47</v>
      </c>
      <c r="K60">
        <v>200</v>
      </c>
      <c r="L60" t="s">
        <v>5</v>
      </c>
      <c r="M60" t="s">
        <v>37</v>
      </c>
      <c r="N60" t="s">
        <v>2033</v>
      </c>
      <c r="O60" t="s">
        <v>1990</v>
      </c>
      <c r="P60" t="s">
        <v>37</v>
      </c>
    </row>
    <row r="61" spans="1:16" x14ac:dyDescent="0.25">
      <c r="A61" s="4" t="s">
        <v>30</v>
      </c>
      <c r="B61" s="4" t="s">
        <v>1905</v>
      </c>
      <c r="C61" s="4" t="str">
        <f t="shared" si="0"/>
        <v>KIWF12_S5</v>
      </c>
      <c r="D61" s="4" t="s">
        <v>2025</v>
      </c>
      <c r="E61" s="4">
        <v>5</v>
      </c>
      <c r="F61" t="s">
        <v>2026</v>
      </c>
      <c r="G61" s="4" t="s">
        <v>2034</v>
      </c>
      <c r="H61" t="s">
        <v>1912</v>
      </c>
      <c r="I61" s="4" t="s">
        <v>36</v>
      </c>
      <c r="J61">
        <v>47</v>
      </c>
      <c r="K61">
        <v>800</v>
      </c>
      <c r="L61" t="s">
        <v>5</v>
      </c>
      <c r="M61" t="s">
        <v>37</v>
      </c>
      <c r="N61" t="s">
        <v>2035</v>
      </c>
      <c r="O61" t="s">
        <v>1990</v>
      </c>
      <c r="P61" t="s">
        <v>37</v>
      </c>
    </row>
    <row r="62" spans="1:16" x14ac:dyDescent="0.25">
      <c r="A62" s="4" t="s">
        <v>30</v>
      </c>
      <c r="B62" s="4" t="s">
        <v>1905</v>
      </c>
      <c r="C62" s="4" t="str">
        <f t="shared" si="0"/>
        <v>KIWF13_S1</v>
      </c>
      <c r="D62" s="4" t="s">
        <v>2036</v>
      </c>
      <c r="E62" s="4">
        <v>1</v>
      </c>
      <c r="F62" t="s">
        <v>2037</v>
      </c>
      <c r="G62" s="4" t="s">
        <v>54</v>
      </c>
      <c r="H62" t="s">
        <v>1912</v>
      </c>
      <c r="I62" s="4" t="s">
        <v>36</v>
      </c>
      <c r="J62">
        <v>49</v>
      </c>
      <c r="K62">
        <v>0</v>
      </c>
      <c r="L62" t="s">
        <v>5</v>
      </c>
      <c r="M62" t="s">
        <v>37</v>
      </c>
      <c r="N62" t="s">
        <v>2038</v>
      </c>
      <c r="O62" t="s">
        <v>1990</v>
      </c>
      <c r="P62" t="s">
        <v>37</v>
      </c>
    </row>
    <row r="63" spans="1:16" x14ac:dyDescent="0.25">
      <c r="A63" s="4" t="s">
        <v>30</v>
      </c>
      <c r="B63" s="4" t="s">
        <v>1905</v>
      </c>
      <c r="C63" s="4" t="str">
        <f t="shared" si="0"/>
        <v>KIWF13_S2</v>
      </c>
      <c r="D63" s="4" t="s">
        <v>2036</v>
      </c>
      <c r="E63" s="4">
        <v>2</v>
      </c>
      <c r="F63" t="s">
        <v>2037</v>
      </c>
      <c r="G63" s="4" t="s">
        <v>49</v>
      </c>
      <c r="H63" t="s">
        <v>1912</v>
      </c>
      <c r="I63" s="4" t="s">
        <v>36</v>
      </c>
      <c r="J63">
        <v>49</v>
      </c>
      <c r="K63">
        <v>1000</v>
      </c>
      <c r="L63" t="s">
        <v>5</v>
      </c>
      <c r="M63" t="s">
        <v>37</v>
      </c>
      <c r="N63" t="s">
        <v>2039</v>
      </c>
      <c r="O63" t="s">
        <v>1990</v>
      </c>
      <c r="P63" t="s">
        <v>37</v>
      </c>
    </row>
    <row r="64" spans="1:16" x14ac:dyDescent="0.25">
      <c r="A64" s="4" t="s">
        <v>30</v>
      </c>
      <c r="B64" s="4" t="s">
        <v>1905</v>
      </c>
      <c r="C64" s="4" t="str">
        <f t="shared" si="0"/>
        <v>KIWF14_S1</v>
      </c>
      <c r="D64" s="4" t="s">
        <v>2040</v>
      </c>
      <c r="E64" s="4">
        <v>1</v>
      </c>
      <c r="F64" t="s">
        <v>2041</v>
      </c>
      <c r="G64" s="4" t="s">
        <v>54</v>
      </c>
      <c r="H64" t="s">
        <v>1912</v>
      </c>
      <c r="I64" s="4" t="s">
        <v>36</v>
      </c>
      <c r="J64">
        <v>49</v>
      </c>
      <c r="K64">
        <v>0</v>
      </c>
      <c r="L64" t="s">
        <v>5</v>
      </c>
      <c r="M64" t="s">
        <v>37</v>
      </c>
      <c r="N64" t="s">
        <v>2042</v>
      </c>
      <c r="O64" t="s">
        <v>1990</v>
      </c>
      <c r="P64" t="s">
        <v>37</v>
      </c>
    </row>
    <row r="65" spans="1:16" x14ac:dyDescent="0.25">
      <c r="A65" s="4" t="s">
        <v>30</v>
      </c>
      <c r="B65" s="4" t="s">
        <v>1905</v>
      </c>
      <c r="C65" s="4" t="str">
        <f t="shared" si="0"/>
        <v>KIWF14_S2o</v>
      </c>
      <c r="D65" s="4" t="s">
        <v>2040</v>
      </c>
      <c r="E65" s="4" t="s">
        <v>1942</v>
      </c>
      <c r="F65" t="s">
        <v>2041</v>
      </c>
      <c r="G65" s="4" t="s">
        <v>2043</v>
      </c>
      <c r="H65" t="s">
        <v>1912</v>
      </c>
      <c r="I65" s="4" t="s">
        <v>36</v>
      </c>
      <c r="J65">
        <v>49</v>
      </c>
      <c r="K65">
        <v>50</v>
      </c>
      <c r="L65" t="s">
        <v>5</v>
      </c>
      <c r="M65" t="s">
        <v>37</v>
      </c>
      <c r="N65" t="s">
        <v>2044</v>
      </c>
      <c r="O65" t="s">
        <v>1990</v>
      </c>
      <c r="P65" t="s">
        <v>37</v>
      </c>
    </row>
    <row r="66" spans="1:16" x14ac:dyDescent="0.25">
      <c r="A66" s="4" t="s">
        <v>30</v>
      </c>
      <c r="B66" s="4" t="s">
        <v>1905</v>
      </c>
      <c r="C66" s="4" t="str">
        <f t="shared" ref="C66:C129" si="1">_xlfn.CONCAT(D66,"_S",E66)</f>
        <v>KIWF14_S3</v>
      </c>
      <c r="D66" s="4" t="s">
        <v>2040</v>
      </c>
      <c r="E66" s="4">
        <v>3</v>
      </c>
      <c r="F66" t="s">
        <v>2041</v>
      </c>
      <c r="G66" s="4" t="s">
        <v>2045</v>
      </c>
      <c r="H66" t="s">
        <v>1912</v>
      </c>
      <c r="I66" s="4" t="s">
        <v>36</v>
      </c>
      <c r="J66">
        <v>49</v>
      </c>
      <c r="K66">
        <v>200</v>
      </c>
      <c r="L66" t="s">
        <v>5</v>
      </c>
      <c r="M66" t="s">
        <v>37</v>
      </c>
      <c r="N66" t="s">
        <v>2044</v>
      </c>
      <c r="O66" t="s">
        <v>1990</v>
      </c>
      <c r="P66" t="s">
        <v>37</v>
      </c>
    </row>
    <row r="67" spans="1:16" x14ac:dyDescent="0.25">
      <c r="A67" s="4" t="s">
        <v>30</v>
      </c>
      <c r="B67" s="4" t="s">
        <v>1905</v>
      </c>
      <c r="C67" s="4" t="str">
        <f t="shared" si="1"/>
        <v>KIWF14_S4</v>
      </c>
      <c r="D67" s="4" t="s">
        <v>2040</v>
      </c>
      <c r="E67" s="4">
        <v>4</v>
      </c>
      <c r="F67" t="s">
        <v>2041</v>
      </c>
      <c r="G67" s="4" t="s">
        <v>2046</v>
      </c>
      <c r="H67" t="s">
        <v>1912</v>
      </c>
      <c r="I67" s="4" t="s">
        <v>36</v>
      </c>
      <c r="J67">
        <v>49</v>
      </c>
      <c r="K67">
        <v>200</v>
      </c>
      <c r="L67" t="s">
        <v>5</v>
      </c>
      <c r="M67" t="s">
        <v>37</v>
      </c>
      <c r="N67" t="s">
        <v>2047</v>
      </c>
      <c r="O67" t="s">
        <v>1990</v>
      </c>
      <c r="P67" t="s">
        <v>37</v>
      </c>
    </row>
    <row r="68" spans="1:16" x14ac:dyDescent="0.25">
      <c r="A68" s="4" t="s">
        <v>30</v>
      </c>
      <c r="B68" s="4" t="s">
        <v>1905</v>
      </c>
      <c r="C68" s="4" t="str">
        <f t="shared" si="1"/>
        <v>KIWF15_S1</v>
      </c>
      <c r="D68" s="4" t="s">
        <v>2048</v>
      </c>
      <c r="E68" s="4">
        <v>1</v>
      </c>
      <c r="F68" t="s">
        <v>2049</v>
      </c>
      <c r="G68" s="4" t="s">
        <v>54</v>
      </c>
      <c r="H68" t="s">
        <v>1912</v>
      </c>
      <c r="I68" s="4" t="s">
        <v>36</v>
      </c>
      <c r="J68">
        <v>49</v>
      </c>
      <c r="K68">
        <v>0</v>
      </c>
      <c r="L68" t="s">
        <v>5</v>
      </c>
      <c r="M68" t="s">
        <v>37</v>
      </c>
      <c r="N68" t="s">
        <v>2050</v>
      </c>
      <c r="O68" t="s">
        <v>1990</v>
      </c>
      <c r="P68" t="s">
        <v>37</v>
      </c>
    </row>
    <row r="69" spans="1:16" x14ac:dyDescent="0.25">
      <c r="A69" s="4" t="s">
        <v>30</v>
      </c>
      <c r="B69" s="4" t="s">
        <v>1905</v>
      </c>
      <c r="C69" s="4" t="str">
        <f t="shared" si="1"/>
        <v>KIWF15_S2</v>
      </c>
      <c r="D69" s="4" t="s">
        <v>2048</v>
      </c>
      <c r="E69" s="4">
        <v>2</v>
      </c>
      <c r="F69" t="s">
        <v>2049</v>
      </c>
      <c r="G69" s="4" t="s">
        <v>2051</v>
      </c>
      <c r="H69" t="s">
        <v>1912</v>
      </c>
      <c r="I69" s="4" t="s">
        <v>36</v>
      </c>
      <c r="J69">
        <v>49</v>
      </c>
      <c r="K69">
        <v>200</v>
      </c>
      <c r="L69" t="s">
        <v>5</v>
      </c>
      <c r="M69" t="s">
        <v>37</v>
      </c>
      <c r="N69" t="s">
        <v>2052</v>
      </c>
      <c r="O69" t="s">
        <v>1990</v>
      </c>
      <c r="P69" t="s">
        <v>37</v>
      </c>
    </row>
    <row r="70" spans="1:16" x14ac:dyDescent="0.25">
      <c r="A70" s="4" t="s">
        <v>30</v>
      </c>
      <c r="B70" s="4" t="s">
        <v>1905</v>
      </c>
      <c r="C70" s="4" t="str">
        <f t="shared" si="1"/>
        <v>KIWF15_S3</v>
      </c>
      <c r="D70" s="4" t="s">
        <v>2048</v>
      </c>
      <c r="E70" s="4">
        <v>3</v>
      </c>
      <c r="F70" t="s">
        <v>2049</v>
      </c>
      <c r="G70" s="4" t="s">
        <v>2053</v>
      </c>
      <c r="H70" t="s">
        <v>1912</v>
      </c>
      <c r="I70" s="4" t="s">
        <v>36</v>
      </c>
      <c r="J70">
        <v>49</v>
      </c>
      <c r="K70">
        <v>50</v>
      </c>
      <c r="L70" t="s">
        <v>5</v>
      </c>
      <c r="M70" t="s">
        <v>37</v>
      </c>
      <c r="N70" t="s">
        <v>2054</v>
      </c>
      <c r="O70" t="s">
        <v>1990</v>
      </c>
      <c r="P70" t="s">
        <v>37</v>
      </c>
    </row>
    <row r="71" spans="1:16" x14ac:dyDescent="0.25">
      <c r="A71" s="4" t="s">
        <v>30</v>
      </c>
      <c r="B71" s="4" t="s">
        <v>1905</v>
      </c>
      <c r="C71" s="4" t="str">
        <f t="shared" si="1"/>
        <v>KIWF16_S1</v>
      </c>
      <c r="D71" s="4" t="s">
        <v>2055</v>
      </c>
      <c r="E71" s="4">
        <v>1</v>
      </c>
      <c r="F71" t="s">
        <v>2056</v>
      </c>
      <c r="G71" s="4" t="s">
        <v>54</v>
      </c>
      <c r="H71" t="s">
        <v>1912</v>
      </c>
      <c r="I71" s="4" t="s">
        <v>36</v>
      </c>
      <c r="J71">
        <v>49</v>
      </c>
      <c r="K71">
        <v>0</v>
      </c>
      <c r="L71" t="s">
        <v>5</v>
      </c>
      <c r="M71" t="s">
        <v>37</v>
      </c>
      <c r="N71" t="s">
        <v>2057</v>
      </c>
      <c r="O71" t="s">
        <v>1990</v>
      </c>
      <c r="P71" t="s">
        <v>37</v>
      </c>
    </row>
    <row r="72" spans="1:16" x14ac:dyDescent="0.25">
      <c r="A72" s="4" t="s">
        <v>30</v>
      </c>
      <c r="B72" s="4" t="s">
        <v>1905</v>
      </c>
      <c r="C72" s="4" t="str">
        <f t="shared" si="1"/>
        <v>KIWF16_S2</v>
      </c>
      <c r="D72" s="4" t="s">
        <v>2055</v>
      </c>
      <c r="E72" s="4">
        <v>2</v>
      </c>
      <c r="F72" t="s">
        <v>2056</v>
      </c>
      <c r="G72" s="4" t="s">
        <v>49</v>
      </c>
      <c r="H72" t="s">
        <v>1912</v>
      </c>
      <c r="I72" s="4" t="s">
        <v>36</v>
      </c>
      <c r="J72">
        <v>49</v>
      </c>
      <c r="K72">
        <v>0</v>
      </c>
      <c r="L72" t="s">
        <v>5</v>
      </c>
      <c r="M72" t="s">
        <v>37</v>
      </c>
      <c r="N72" t="s">
        <v>2058</v>
      </c>
      <c r="O72" t="s">
        <v>1990</v>
      </c>
      <c r="P72" t="s">
        <v>37</v>
      </c>
    </row>
    <row r="73" spans="1:16" x14ac:dyDescent="0.25">
      <c r="A73" s="4" t="s">
        <v>266</v>
      </c>
      <c r="B73" s="4" t="s">
        <v>1905</v>
      </c>
      <c r="C73" s="4" t="str">
        <f t="shared" si="1"/>
        <v>KIWZP1_S1</v>
      </c>
      <c r="D73" s="4" t="s">
        <v>2059</v>
      </c>
      <c r="E73" s="4">
        <v>1</v>
      </c>
      <c r="F73" t="s">
        <v>2060</v>
      </c>
      <c r="G73" s="4" t="s">
        <v>54</v>
      </c>
      <c r="H73" t="s">
        <v>1912</v>
      </c>
      <c r="I73" s="4" t="s">
        <v>36</v>
      </c>
      <c r="J73">
        <v>35</v>
      </c>
      <c r="K73">
        <v>0</v>
      </c>
      <c r="L73" t="s">
        <v>5</v>
      </c>
      <c r="M73" t="s">
        <v>37</v>
      </c>
      <c r="N73" t="s">
        <v>37</v>
      </c>
      <c r="O73" t="s">
        <v>2061</v>
      </c>
      <c r="P73" t="s">
        <v>37</v>
      </c>
    </row>
    <row r="74" spans="1:16" x14ac:dyDescent="0.25">
      <c r="A74" s="4" t="s">
        <v>266</v>
      </c>
      <c r="B74" s="4" t="s">
        <v>1905</v>
      </c>
      <c r="C74" s="4" t="str">
        <f t="shared" si="1"/>
        <v>KIWZP1_S2</v>
      </c>
      <c r="D74" s="4" t="s">
        <v>2059</v>
      </c>
      <c r="E74" s="4">
        <v>2</v>
      </c>
      <c r="F74" t="s">
        <v>2060</v>
      </c>
      <c r="G74" s="4" t="s">
        <v>49</v>
      </c>
      <c r="H74" t="s">
        <v>1912</v>
      </c>
      <c r="I74" s="4" t="s">
        <v>36</v>
      </c>
      <c r="J74">
        <v>35</v>
      </c>
      <c r="K74">
        <v>200</v>
      </c>
      <c r="L74" t="s">
        <v>5</v>
      </c>
      <c r="M74" t="s">
        <v>37</v>
      </c>
      <c r="N74" t="s">
        <v>2062</v>
      </c>
      <c r="O74" t="s">
        <v>2061</v>
      </c>
      <c r="P74" t="s">
        <v>37</v>
      </c>
    </row>
    <row r="75" spans="1:16" x14ac:dyDescent="0.25">
      <c r="A75" s="4" t="s">
        <v>266</v>
      </c>
      <c r="B75" s="4" t="s">
        <v>1905</v>
      </c>
      <c r="C75" s="4" t="str">
        <f t="shared" si="1"/>
        <v>KIWZP2NA_S1</v>
      </c>
      <c r="D75" s="4" t="s">
        <v>2063</v>
      </c>
      <c r="E75" s="4">
        <v>1</v>
      </c>
      <c r="F75" t="s">
        <v>2064</v>
      </c>
      <c r="G75" s="4" t="s">
        <v>54</v>
      </c>
      <c r="H75" t="s">
        <v>1912</v>
      </c>
      <c r="I75" s="4" t="s">
        <v>42</v>
      </c>
      <c r="J75" t="s">
        <v>37</v>
      </c>
      <c r="K75">
        <v>0</v>
      </c>
      <c r="L75" t="s">
        <v>12</v>
      </c>
      <c r="M75" t="s">
        <v>37</v>
      </c>
      <c r="N75" t="s">
        <v>37</v>
      </c>
      <c r="O75" t="s">
        <v>2065</v>
      </c>
      <c r="P75" t="s">
        <v>37</v>
      </c>
    </row>
    <row r="76" spans="1:16" x14ac:dyDescent="0.25">
      <c r="A76" s="4" t="s">
        <v>266</v>
      </c>
      <c r="B76" s="4" t="s">
        <v>1905</v>
      </c>
      <c r="C76" s="4" t="str">
        <f t="shared" si="1"/>
        <v>KIWZP2NA_S2</v>
      </c>
      <c r="D76" s="4" t="s">
        <v>2063</v>
      </c>
      <c r="E76" s="4">
        <v>2</v>
      </c>
      <c r="F76" t="s">
        <v>2064</v>
      </c>
      <c r="G76" s="4" t="s">
        <v>49</v>
      </c>
      <c r="H76" t="s">
        <v>1912</v>
      </c>
      <c r="I76" s="4" t="s">
        <v>42</v>
      </c>
      <c r="J76" t="s">
        <v>37</v>
      </c>
      <c r="K76">
        <v>0</v>
      </c>
      <c r="L76" t="s">
        <v>12</v>
      </c>
      <c r="M76" t="s">
        <v>37</v>
      </c>
      <c r="N76" t="s">
        <v>2066</v>
      </c>
      <c r="O76" t="s">
        <v>2065</v>
      </c>
      <c r="P76" t="s">
        <v>37</v>
      </c>
    </row>
    <row r="77" spans="1:16" x14ac:dyDescent="0.25">
      <c r="A77" s="4" t="s">
        <v>266</v>
      </c>
      <c r="B77" s="4" t="s">
        <v>1905</v>
      </c>
      <c r="C77" s="4" t="str">
        <f t="shared" si="1"/>
        <v>KIWZP3NA_S1</v>
      </c>
      <c r="D77" s="4" t="s">
        <v>2067</v>
      </c>
      <c r="E77" s="4">
        <v>1</v>
      </c>
      <c r="F77" t="s">
        <v>2068</v>
      </c>
      <c r="G77" s="4" t="s">
        <v>49</v>
      </c>
      <c r="H77" t="s">
        <v>1912</v>
      </c>
      <c r="I77" s="4" t="s">
        <v>42</v>
      </c>
      <c r="J77" t="s">
        <v>37</v>
      </c>
      <c r="K77">
        <v>0</v>
      </c>
      <c r="L77" t="s">
        <v>12</v>
      </c>
      <c r="M77" t="s">
        <v>37</v>
      </c>
      <c r="N77" t="s">
        <v>37</v>
      </c>
      <c r="O77" t="s">
        <v>37</v>
      </c>
      <c r="P77" t="s">
        <v>37</v>
      </c>
    </row>
    <row r="78" spans="1:16" x14ac:dyDescent="0.25">
      <c r="A78" s="4" t="s">
        <v>266</v>
      </c>
      <c r="B78" s="4" t="s">
        <v>1905</v>
      </c>
      <c r="C78" s="4" t="str">
        <f t="shared" si="1"/>
        <v>KIWZP4NA_S1</v>
      </c>
      <c r="D78" s="4" t="s">
        <v>2069</v>
      </c>
      <c r="E78" s="4">
        <v>1</v>
      </c>
      <c r="F78" t="s">
        <v>2070</v>
      </c>
      <c r="G78" s="4" t="s">
        <v>49</v>
      </c>
      <c r="H78" t="s">
        <v>1912</v>
      </c>
      <c r="I78" s="4" t="s">
        <v>42</v>
      </c>
      <c r="J78" t="s">
        <v>37</v>
      </c>
      <c r="K78">
        <v>0</v>
      </c>
      <c r="L78" t="s">
        <v>12</v>
      </c>
      <c r="M78" t="s">
        <v>37</v>
      </c>
      <c r="N78" t="s">
        <v>37</v>
      </c>
      <c r="O78" t="s">
        <v>37</v>
      </c>
      <c r="P78" t="s">
        <v>37</v>
      </c>
    </row>
    <row r="79" spans="1:16" x14ac:dyDescent="0.25">
      <c r="A79" s="4" t="s">
        <v>266</v>
      </c>
      <c r="B79" s="4" t="s">
        <v>1905</v>
      </c>
      <c r="C79" s="4" t="str">
        <f t="shared" si="1"/>
        <v>KIWZP5NA_S1</v>
      </c>
      <c r="D79" s="4" t="s">
        <v>2071</v>
      </c>
      <c r="E79" s="4">
        <v>1</v>
      </c>
      <c r="F79" t="s">
        <v>2072</v>
      </c>
      <c r="G79" s="4" t="s">
        <v>49</v>
      </c>
      <c r="H79" t="s">
        <v>1912</v>
      </c>
      <c r="I79" s="4" t="s">
        <v>42</v>
      </c>
      <c r="J79" t="s">
        <v>37</v>
      </c>
      <c r="K79">
        <v>0</v>
      </c>
      <c r="L79" t="s">
        <v>12</v>
      </c>
      <c r="M79" t="s">
        <v>37</v>
      </c>
      <c r="N79" t="s">
        <v>37</v>
      </c>
      <c r="O79" t="s">
        <v>37</v>
      </c>
      <c r="P79" t="s">
        <v>37</v>
      </c>
    </row>
    <row r="80" spans="1:16" x14ac:dyDescent="0.25">
      <c r="A80" s="4" t="s">
        <v>266</v>
      </c>
      <c r="B80" s="4" t="s">
        <v>1905</v>
      </c>
      <c r="C80" s="4" t="str">
        <f t="shared" si="1"/>
        <v>KIWZP6NA_S1</v>
      </c>
      <c r="D80" s="4" t="s">
        <v>2073</v>
      </c>
      <c r="E80" s="4">
        <v>1</v>
      </c>
      <c r="F80" t="s">
        <v>2074</v>
      </c>
      <c r="G80" s="4" t="s">
        <v>49</v>
      </c>
      <c r="H80" t="s">
        <v>1912</v>
      </c>
      <c r="I80" s="4" t="s">
        <v>42</v>
      </c>
      <c r="J80" t="s">
        <v>37</v>
      </c>
      <c r="K80">
        <v>0</v>
      </c>
      <c r="L80" t="s">
        <v>12</v>
      </c>
      <c r="M80" t="s">
        <v>37</v>
      </c>
      <c r="N80" t="s">
        <v>37</v>
      </c>
      <c r="O80" t="s">
        <v>37</v>
      </c>
      <c r="P80" t="s">
        <v>37</v>
      </c>
    </row>
    <row r="81" spans="1:16" x14ac:dyDescent="0.25">
      <c r="A81" s="4" t="s">
        <v>266</v>
      </c>
      <c r="B81" s="4" t="s">
        <v>1905</v>
      </c>
      <c r="C81" s="4" t="str">
        <f t="shared" si="1"/>
        <v>KIWZP7NA_S1</v>
      </c>
      <c r="D81" s="4" t="s">
        <v>2075</v>
      </c>
      <c r="E81" s="4">
        <v>1</v>
      </c>
      <c r="F81" t="s">
        <v>2076</v>
      </c>
      <c r="G81" s="4" t="s">
        <v>49</v>
      </c>
      <c r="H81" t="s">
        <v>1912</v>
      </c>
      <c r="I81" s="4" t="s">
        <v>42</v>
      </c>
      <c r="J81" t="s">
        <v>37</v>
      </c>
      <c r="K81">
        <v>0</v>
      </c>
      <c r="L81" t="s">
        <v>12</v>
      </c>
      <c r="M81" t="s">
        <v>37</v>
      </c>
      <c r="N81" t="s">
        <v>37</v>
      </c>
      <c r="O81" t="s">
        <v>37</v>
      </c>
      <c r="P81" t="s">
        <v>37</v>
      </c>
    </row>
    <row r="82" spans="1:16" x14ac:dyDescent="0.25">
      <c r="A82" s="4" t="s">
        <v>266</v>
      </c>
      <c r="B82" s="4" t="s">
        <v>1905</v>
      </c>
      <c r="C82" s="4" t="str">
        <f t="shared" si="1"/>
        <v>KIWZP8_S1</v>
      </c>
      <c r="D82" s="4" t="s">
        <v>2077</v>
      </c>
      <c r="E82" s="4">
        <v>1</v>
      </c>
      <c r="F82" t="s">
        <v>2078</v>
      </c>
      <c r="G82" s="4" t="s">
        <v>54</v>
      </c>
      <c r="H82" t="s">
        <v>1912</v>
      </c>
      <c r="I82" s="4" t="s">
        <v>36</v>
      </c>
      <c r="J82">
        <v>47</v>
      </c>
      <c r="K82">
        <v>0</v>
      </c>
      <c r="L82" t="s">
        <v>5</v>
      </c>
      <c r="M82" t="s">
        <v>37</v>
      </c>
      <c r="N82" t="s">
        <v>37</v>
      </c>
      <c r="O82" t="s">
        <v>2079</v>
      </c>
      <c r="P82" t="s">
        <v>37</v>
      </c>
    </row>
    <row r="83" spans="1:16" x14ac:dyDescent="0.25">
      <c r="A83" s="4" t="s">
        <v>266</v>
      </c>
      <c r="B83" s="4" t="s">
        <v>1905</v>
      </c>
      <c r="C83" s="4" t="str">
        <f t="shared" si="1"/>
        <v>KIWZP8_S2</v>
      </c>
      <c r="D83" s="4" t="s">
        <v>2077</v>
      </c>
      <c r="E83" s="4">
        <v>2</v>
      </c>
      <c r="F83" t="s">
        <v>2078</v>
      </c>
      <c r="G83" s="4" t="s">
        <v>49</v>
      </c>
      <c r="H83" t="s">
        <v>1912</v>
      </c>
      <c r="I83" s="4" t="s">
        <v>36</v>
      </c>
      <c r="J83">
        <v>47</v>
      </c>
      <c r="K83">
        <v>300</v>
      </c>
      <c r="L83" t="s">
        <v>5</v>
      </c>
      <c r="M83" t="s">
        <v>37</v>
      </c>
      <c r="N83" t="s">
        <v>2080</v>
      </c>
      <c r="O83" t="s">
        <v>2079</v>
      </c>
      <c r="P83" t="s">
        <v>37</v>
      </c>
    </row>
    <row r="84" spans="1:16" x14ac:dyDescent="0.25">
      <c r="A84" s="4" t="s">
        <v>266</v>
      </c>
      <c r="B84" s="4" t="s">
        <v>1905</v>
      </c>
      <c r="C84" s="4" t="str">
        <f t="shared" si="1"/>
        <v>KIWZP9_S1</v>
      </c>
      <c r="D84" s="4" t="s">
        <v>2081</v>
      </c>
      <c r="E84" s="4">
        <v>1</v>
      </c>
      <c r="F84" t="s">
        <v>2082</v>
      </c>
      <c r="G84" s="4" t="s">
        <v>54</v>
      </c>
      <c r="H84" t="s">
        <v>1912</v>
      </c>
      <c r="I84" s="4" t="s">
        <v>36</v>
      </c>
      <c r="J84">
        <v>35</v>
      </c>
      <c r="K84">
        <v>0</v>
      </c>
      <c r="L84" t="s">
        <v>5</v>
      </c>
      <c r="M84" t="s">
        <v>37</v>
      </c>
      <c r="N84" t="s">
        <v>1913</v>
      </c>
      <c r="O84" t="s">
        <v>2083</v>
      </c>
      <c r="P84" t="s">
        <v>37</v>
      </c>
    </row>
    <row r="85" spans="1:16" x14ac:dyDescent="0.25">
      <c r="A85" s="4" t="s">
        <v>266</v>
      </c>
      <c r="B85" s="4" t="s">
        <v>1905</v>
      </c>
      <c r="C85" s="4" t="str">
        <f t="shared" si="1"/>
        <v>KIWZP9_S2</v>
      </c>
      <c r="D85" s="4" t="s">
        <v>2081</v>
      </c>
      <c r="E85" s="4">
        <v>2</v>
      </c>
      <c r="F85" t="s">
        <v>2082</v>
      </c>
      <c r="G85" s="4" t="s">
        <v>2084</v>
      </c>
      <c r="H85" t="s">
        <v>1912</v>
      </c>
      <c r="I85" s="4" t="s">
        <v>36</v>
      </c>
      <c r="J85">
        <v>35</v>
      </c>
      <c r="K85">
        <v>100</v>
      </c>
      <c r="L85" t="s">
        <v>5</v>
      </c>
      <c r="M85" t="s">
        <v>37</v>
      </c>
      <c r="N85" t="s">
        <v>2085</v>
      </c>
      <c r="O85" t="s">
        <v>2083</v>
      </c>
      <c r="P85" t="s">
        <v>37</v>
      </c>
    </row>
    <row r="86" spans="1:16" x14ac:dyDescent="0.25">
      <c r="A86" s="4" t="s">
        <v>266</v>
      </c>
      <c r="B86" s="4" t="s">
        <v>1905</v>
      </c>
      <c r="C86" s="4" t="str">
        <f t="shared" si="1"/>
        <v>KIWZP9_S3</v>
      </c>
      <c r="D86" s="4" t="s">
        <v>2081</v>
      </c>
      <c r="E86" s="4">
        <v>3</v>
      </c>
      <c r="F86" t="s">
        <v>2082</v>
      </c>
      <c r="G86" s="4" t="s">
        <v>2086</v>
      </c>
      <c r="H86" t="s">
        <v>1912</v>
      </c>
      <c r="I86" s="4" t="s">
        <v>36</v>
      </c>
      <c r="J86">
        <v>35</v>
      </c>
      <c r="K86">
        <v>100</v>
      </c>
      <c r="L86" t="s">
        <v>5</v>
      </c>
      <c r="M86" t="s">
        <v>37</v>
      </c>
      <c r="N86" t="s">
        <v>2087</v>
      </c>
      <c r="O86" t="s">
        <v>37</v>
      </c>
      <c r="P86" t="s">
        <v>37</v>
      </c>
    </row>
    <row r="87" spans="1:16" x14ac:dyDescent="0.25">
      <c r="A87" s="4" t="s">
        <v>266</v>
      </c>
      <c r="B87" s="4" t="s">
        <v>1905</v>
      </c>
      <c r="C87" s="4" t="str">
        <f t="shared" si="1"/>
        <v>KIWZP9_S4</v>
      </c>
      <c r="D87" s="4" t="s">
        <v>2081</v>
      </c>
      <c r="E87" s="4">
        <v>4</v>
      </c>
      <c r="F87" t="s">
        <v>2082</v>
      </c>
      <c r="G87" s="4" t="s">
        <v>2088</v>
      </c>
      <c r="H87" t="s">
        <v>1912</v>
      </c>
      <c r="I87" s="4" t="s">
        <v>36</v>
      </c>
      <c r="J87">
        <v>35</v>
      </c>
      <c r="K87">
        <v>50</v>
      </c>
      <c r="L87" t="s">
        <v>5</v>
      </c>
      <c r="M87" t="s">
        <v>37</v>
      </c>
      <c r="N87" t="s">
        <v>2089</v>
      </c>
      <c r="O87" t="s">
        <v>37</v>
      </c>
      <c r="P87" t="s">
        <v>37</v>
      </c>
    </row>
    <row r="88" spans="1:16" x14ac:dyDescent="0.25">
      <c r="A88" s="4" t="s">
        <v>266</v>
      </c>
      <c r="B88" s="4" t="s">
        <v>1905</v>
      </c>
      <c r="C88" s="4" t="str">
        <f t="shared" si="1"/>
        <v>KIWZP9_S5</v>
      </c>
      <c r="D88" s="4" t="s">
        <v>2081</v>
      </c>
      <c r="E88" s="4">
        <v>5</v>
      </c>
      <c r="F88" t="s">
        <v>2082</v>
      </c>
      <c r="G88" s="4" t="s">
        <v>2090</v>
      </c>
      <c r="H88" t="s">
        <v>1912</v>
      </c>
      <c r="I88" s="4" t="s">
        <v>36</v>
      </c>
      <c r="J88">
        <v>35</v>
      </c>
      <c r="K88">
        <v>100</v>
      </c>
      <c r="L88" t="s">
        <v>5</v>
      </c>
      <c r="M88" t="s">
        <v>37</v>
      </c>
      <c r="N88" t="s">
        <v>2091</v>
      </c>
      <c r="O88" t="s">
        <v>37</v>
      </c>
      <c r="P88" t="s">
        <v>37</v>
      </c>
    </row>
    <row r="89" spans="1:16" x14ac:dyDescent="0.25">
      <c r="A89" s="4" t="s">
        <v>266</v>
      </c>
      <c r="B89" s="4" t="s">
        <v>1905</v>
      </c>
      <c r="C89" s="4" t="str">
        <f t="shared" si="1"/>
        <v>KIWZP9_S6</v>
      </c>
      <c r="D89" s="4" t="s">
        <v>2081</v>
      </c>
      <c r="E89" s="4">
        <v>6</v>
      </c>
      <c r="F89" t="s">
        <v>2082</v>
      </c>
      <c r="G89" s="4" t="s">
        <v>2092</v>
      </c>
      <c r="H89" t="s">
        <v>1912</v>
      </c>
      <c r="I89" s="4" t="s">
        <v>36</v>
      </c>
      <c r="J89">
        <v>35</v>
      </c>
      <c r="K89">
        <v>250</v>
      </c>
      <c r="L89" t="s">
        <v>5</v>
      </c>
      <c r="M89" t="s">
        <v>37</v>
      </c>
      <c r="N89" t="s">
        <v>2093</v>
      </c>
      <c r="O89" t="s">
        <v>37</v>
      </c>
      <c r="P89" t="s">
        <v>37</v>
      </c>
    </row>
    <row r="90" spans="1:16" x14ac:dyDescent="0.25">
      <c r="A90" s="4" t="s">
        <v>266</v>
      </c>
      <c r="B90" s="4" t="s">
        <v>1905</v>
      </c>
      <c r="C90" s="4" t="str">
        <f t="shared" si="1"/>
        <v>KIWZP9_S7</v>
      </c>
      <c r="D90" s="4" t="s">
        <v>2081</v>
      </c>
      <c r="E90" s="4">
        <v>7</v>
      </c>
      <c r="F90" t="s">
        <v>2082</v>
      </c>
      <c r="G90" s="4" t="s">
        <v>49</v>
      </c>
      <c r="H90" t="s">
        <v>1912</v>
      </c>
      <c r="I90" s="4" t="s">
        <v>36</v>
      </c>
      <c r="J90">
        <v>35</v>
      </c>
      <c r="K90">
        <v>250</v>
      </c>
      <c r="L90" t="s">
        <v>5</v>
      </c>
      <c r="M90" t="s">
        <v>37</v>
      </c>
      <c r="N90" t="s">
        <v>2094</v>
      </c>
      <c r="O90" t="s">
        <v>37</v>
      </c>
      <c r="P90" t="s">
        <v>37</v>
      </c>
    </row>
    <row r="91" spans="1:16" x14ac:dyDescent="0.25">
      <c r="A91" s="4" t="s">
        <v>266</v>
      </c>
      <c r="B91" s="4" t="s">
        <v>1905</v>
      </c>
      <c r="C91" s="4" t="str">
        <f t="shared" si="1"/>
        <v>KIWZP10_S1</v>
      </c>
      <c r="D91" s="4" t="s">
        <v>2095</v>
      </c>
      <c r="E91" s="4">
        <v>1</v>
      </c>
      <c r="F91" t="s">
        <v>2096</v>
      </c>
      <c r="G91" s="4" t="s">
        <v>54</v>
      </c>
      <c r="H91" t="s">
        <v>1912</v>
      </c>
      <c r="I91" s="4" t="s">
        <v>36</v>
      </c>
      <c r="J91">
        <v>35</v>
      </c>
      <c r="K91">
        <v>0</v>
      </c>
      <c r="L91" t="s">
        <v>5</v>
      </c>
      <c r="M91" t="s">
        <v>37</v>
      </c>
      <c r="N91" t="s">
        <v>37</v>
      </c>
      <c r="O91" t="s">
        <v>2097</v>
      </c>
      <c r="P91" t="s">
        <v>37</v>
      </c>
    </row>
    <row r="92" spans="1:16" x14ac:dyDescent="0.25">
      <c r="A92" s="4" t="s">
        <v>266</v>
      </c>
      <c r="B92" s="4" t="s">
        <v>1905</v>
      </c>
      <c r="C92" s="4" t="str">
        <f t="shared" si="1"/>
        <v>KIWZP10_S2</v>
      </c>
      <c r="D92" s="4" t="s">
        <v>2095</v>
      </c>
      <c r="E92" s="4">
        <v>2</v>
      </c>
      <c r="F92" t="s">
        <v>2096</v>
      </c>
      <c r="G92" s="4" t="s">
        <v>2098</v>
      </c>
      <c r="H92" t="s">
        <v>1912</v>
      </c>
      <c r="I92" s="4" t="s">
        <v>36</v>
      </c>
      <c r="J92">
        <v>35</v>
      </c>
      <c r="K92">
        <v>50</v>
      </c>
      <c r="L92" t="s">
        <v>5</v>
      </c>
      <c r="M92" t="s">
        <v>37</v>
      </c>
      <c r="N92" t="s">
        <v>2099</v>
      </c>
      <c r="O92" t="s">
        <v>2097</v>
      </c>
      <c r="P92" t="s">
        <v>37</v>
      </c>
    </row>
    <row r="93" spans="1:16" x14ac:dyDescent="0.25">
      <c r="A93" s="4" t="s">
        <v>266</v>
      </c>
      <c r="B93" s="4" t="s">
        <v>1905</v>
      </c>
      <c r="C93" s="4" t="str">
        <f t="shared" si="1"/>
        <v>KIWZP10_S3</v>
      </c>
      <c r="D93" s="4" t="s">
        <v>2095</v>
      </c>
      <c r="E93" s="4">
        <v>3</v>
      </c>
      <c r="F93" t="s">
        <v>2096</v>
      </c>
      <c r="G93" s="4" t="s">
        <v>2100</v>
      </c>
      <c r="H93" t="s">
        <v>1912</v>
      </c>
      <c r="I93" s="4" t="s">
        <v>36</v>
      </c>
      <c r="J93">
        <v>35</v>
      </c>
      <c r="K93">
        <v>50</v>
      </c>
      <c r="L93" t="s">
        <v>5</v>
      </c>
      <c r="M93" t="s">
        <v>37</v>
      </c>
      <c r="N93" t="s">
        <v>2101</v>
      </c>
      <c r="O93" t="s">
        <v>37</v>
      </c>
      <c r="P93" t="s">
        <v>37</v>
      </c>
    </row>
    <row r="94" spans="1:16" x14ac:dyDescent="0.25">
      <c r="A94" s="4" t="s">
        <v>266</v>
      </c>
      <c r="B94" s="4" t="s">
        <v>1905</v>
      </c>
      <c r="C94" s="4" t="str">
        <f t="shared" si="1"/>
        <v>KIWZP10_S4</v>
      </c>
      <c r="D94" s="4" t="s">
        <v>2095</v>
      </c>
      <c r="E94" s="4">
        <v>4</v>
      </c>
      <c r="F94" t="s">
        <v>2096</v>
      </c>
      <c r="G94" s="4" t="s">
        <v>2102</v>
      </c>
      <c r="H94" t="s">
        <v>1912</v>
      </c>
      <c r="I94" s="4" t="s">
        <v>36</v>
      </c>
      <c r="J94">
        <v>35</v>
      </c>
      <c r="K94">
        <v>100</v>
      </c>
      <c r="L94" t="s">
        <v>5</v>
      </c>
      <c r="M94" t="s">
        <v>37</v>
      </c>
      <c r="N94" t="s">
        <v>2103</v>
      </c>
      <c r="O94" t="s">
        <v>37</v>
      </c>
      <c r="P94" t="s">
        <v>37</v>
      </c>
    </row>
    <row r="95" spans="1:16" x14ac:dyDescent="0.25">
      <c r="A95" s="4" t="s">
        <v>266</v>
      </c>
      <c r="B95" s="4" t="s">
        <v>1905</v>
      </c>
      <c r="C95" s="4" t="str">
        <f t="shared" si="1"/>
        <v>KIWZP10_S5</v>
      </c>
      <c r="D95" s="4" t="s">
        <v>2095</v>
      </c>
      <c r="E95" s="4">
        <v>5</v>
      </c>
      <c r="F95" t="s">
        <v>2096</v>
      </c>
      <c r="G95" s="4" t="s">
        <v>2104</v>
      </c>
      <c r="H95" t="s">
        <v>1912</v>
      </c>
      <c r="I95" s="4" t="s">
        <v>36</v>
      </c>
      <c r="J95">
        <v>35</v>
      </c>
      <c r="K95">
        <v>100</v>
      </c>
      <c r="L95" t="s">
        <v>5</v>
      </c>
      <c r="M95" t="s">
        <v>37</v>
      </c>
      <c r="N95" t="s">
        <v>2105</v>
      </c>
      <c r="O95" t="s">
        <v>37</v>
      </c>
      <c r="P95" t="s">
        <v>37</v>
      </c>
    </row>
    <row r="96" spans="1:16" x14ac:dyDescent="0.25">
      <c r="A96" s="4" t="s">
        <v>266</v>
      </c>
      <c r="B96" s="4" t="s">
        <v>1905</v>
      </c>
      <c r="C96" s="4" t="str">
        <f t="shared" si="1"/>
        <v>KIWZP10_S6</v>
      </c>
      <c r="D96" s="4" t="s">
        <v>2095</v>
      </c>
      <c r="E96" s="4">
        <v>6</v>
      </c>
      <c r="F96" t="s">
        <v>2096</v>
      </c>
      <c r="G96" s="4" t="s">
        <v>405</v>
      </c>
      <c r="H96" t="s">
        <v>1912</v>
      </c>
      <c r="I96" s="4" t="s">
        <v>36</v>
      </c>
      <c r="J96">
        <v>35</v>
      </c>
      <c r="K96">
        <v>100</v>
      </c>
      <c r="L96" t="s">
        <v>5</v>
      </c>
      <c r="M96" t="s">
        <v>37</v>
      </c>
      <c r="N96" t="s">
        <v>2106</v>
      </c>
      <c r="O96" t="s">
        <v>37</v>
      </c>
      <c r="P96" t="s">
        <v>37</v>
      </c>
    </row>
    <row r="97" spans="1:16" x14ac:dyDescent="0.25">
      <c r="A97" s="4" t="s">
        <v>266</v>
      </c>
      <c r="B97" s="4" t="s">
        <v>1905</v>
      </c>
      <c r="C97" s="4" t="str">
        <f t="shared" si="1"/>
        <v>KIWZP10_S7</v>
      </c>
      <c r="D97" s="4" t="s">
        <v>2095</v>
      </c>
      <c r="E97" s="4">
        <v>7</v>
      </c>
      <c r="F97" t="s">
        <v>2096</v>
      </c>
      <c r="G97" s="4" t="s">
        <v>2107</v>
      </c>
      <c r="H97" t="s">
        <v>1912</v>
      </c>
      <c r="I97" s="4" t="s">
        <v>36</v>
      </c>
      <c r="J97">
        <v>35</v>
      </c>
      <c r="K97">
        <v>100</v>
      </c>
      <c r="L97" t="s">
        <v>5</v>
      </c>
      <c r="M97" t="s">
        <v>37</v>
      </c>
      <c r="N97" t="s">
        <v>2108</v>
      </c>
      <c r="O97" t="s">
        <v>37</v>
      </c>
      <c r="P97" t="s">
        <v>37</v>
      </c>
    </row>
    <row r="98" spans="1:16" x14ac:dyDescent="0.25">
      <c r="A98" s="4" t="s">
        <v>266</v>
      </c>
      <c r="B98" s="4" t="s">
        <v>1905</v>
      </c>
      <c r="C98" s="4" t="str">
        <f t="shared" si="1"/>
        <v>KIWZP10_S8</v>
      </c>
      <c r="D98" s="4" t="s">
        <v>2095</v>
      </c>
      <c r="E98" s="4">
        <v>8</v>
      </c>
      <c r="F98" t="s">
        <v>2096</v>
      </c>
      <c r="G98" s="4" t="s">
        <v>2109</v>
      </c>
      <c r="H98" t="s">
        <v>1912</v>
      </c>
      <c r="I98" s="4" t="s">
        <v>36</v>
      </c>
      <c r="J98">
        <v>35</v>
      </c>
      <c r="K98">
        <v>100</v>
      </c>
      <c r="L98" t="s">
        <v>5</v>
      </c>
      <c r="M98" t="s">
        <v>37</v>
      </c>
      <c r="N98" t="s">
        <v>2110</v>
      </c>
      <c r="O98" t="s">
        <v>37</v>
      </c>
      <c r="P98" t="s">
        <v>37</v>
      </c>
    </row>
    <row r="99" spans="1:16" x14ac:dyDescent="0.25">
      <c r="A99" s="4" t="s">
        <v>266</v>
      </c>
      <c r="B99" s="4" t="s">
        <v>1905</v>
      </c>
      <c r="C99" s="4" t="str">
        <f t="shared" si="1"/>
        <v>KIWZP10_S9</v>
      </c>
      <c r="D99" s="4" t="s">
        <v>2095</v>
      </c>
      <c r="E99" s="4">
        <v>9</v>
      </c>
      <c r="F99" t="s">
        <v>2096</v>
      </c>
      <c r="G99" s="4" t="s">
        <v>2111</v>
      </c>
      <c r="H99" t="s">
        <v>1912</v>
      </c>
      <c r="I99" s="4" t="s">
        <v>36</v>
      </c>
      <c r="J99">
        <v>35</v>
      </c>
      <c r="K99">
        <v>100</v>
      </c>
      <c r="L99" t="s">
        <v>5</v>
      </c>
      <c r="M99" t="s">
        <v>37</v>
      </c>
      <c r="N99" t="s">
        <v>2112</v>
      </c>
      <c r="O99" t="s">
        <v>37</v>
      </c>
      <c r="P99" t="s">
        <v>37</v>
      </c>
    </row>
    <row r="100" spans="1:16" x14ac:dyDescent="0.25">
      <c r="A100" s="4" t="s">
        <v>266</v>
      </c>
      <c r="B100" s="4" t="s">
        <v>1905</v>
      </c>
      <c r="C100" s="4" t="str">
        <f t="shared" si="1"/>
        <v>KIWZP10_S10</v>
      </c>
      <c r="D100" s="4" t="s">
        <v>2095</v>
      </c>
      <c r="E100" s="4">
        <v>10</v>
      </c>
      <c r="F100" t="s">
        <v>2096</v>
      </c>
      <c r="G100" s="4" t="s">
        <v>49</v>
      </c>
      <c r="H100" t="s">
        <v>1912</v>
      </c>
      <c r="I100" s="4" t="s">
        <v>36</v>
      </c>
      <c r="J100">
        <v>35</v>
      </c>
      <c r="K100">
        <v>200</v>
      </c>
      <c r="L100" t="s">
        <v>5</v>
      </c>
      <c r="M100" t="s">
        <v>37</v>
      </c>
      <c r="N100" t="s">
        <v>2113</v>
      </c>
      <c r="O100" t="s">
        <v>37</v>
      </c>
      <c r="P100" t="s">
        <v>37</v>
      </c>
    </row>
    <row r="101" spans="1:16" x14ac:dyDescent="0.25">
      <c r="A101" s="4" t="s">
        <v>266</v>
      </c>
      <c r="B101" s="4" t="s">
        <v>1905</v>
      </c>
      <c r="C101" s="4" t="str">
        <f t="shared" si="1"/>
        <v>KIWZP11_S1</v>
      </c>
      <c r="D101" s="4" t="s">
        <v>2114</v>
      </c>
      <c r="E101" s="4">
        <v>1</v>
      </c>
      <c r="F101" t="s">
        <v>2115</v>
      </c>
      <c r="G101" s="4" t="s">
        <v>54</v>
      </c>
      <c r="H101" t="s">
        <v>1912</v>
      </c>
      <c r="I101" s="4" t="s">
        <v>36</v>
      </c>
      <c r="J101">
        <v>36</v>
      </c>
      <c r="K101">
        <v>0</v>
      </c>
      <c r="L101" t="s">
        <v>5</v>
      </c>
      <c r="M101" t="s">
        <v>37</v>
      </c>
      <c r="N101" t="s">
        <v>37</v>
      </c>
      <c r="O101" t="s">
        <v>2116</v>
      </c>
      <c r="P101" t="s">
        <v>37</v>
      </c>
    </row>
    <row r="102" spans="1:16" x14ac:dyDescent="0.25">
      <c r="A102" s="4" t="s">
        <v>266</v>
      </c>
      <c r="B102" s="4" t="s">
        <v>1905</v>
      </c>
      <c r="C102" s="4" t="str">
        <f t="shared" si="1"/>
        <v>KIWZP11_S2</v>
      </c>
      <c r="D102" s="4" t="s">
        <v>2114</v>
      </c>
      <c r="E102" s="4">
        <v>2</v>
      </c>
      <c r="F102" t="s">
        <v>2115</v>
      </c>
      <c r="G102" s="4" t="s">
        <v>49</v>
      </c>
      <c r="H102" t="s">
        <v>1912</v>
      </c>
      <c r="I102" s="4" t="s">
        <v>36</v>
      </c>
      <c r="J102">
        <v>36</v>
      </c>
      <c r="K102">
        <v>100</v>
      </c>
      <c r="L102" t="s">
        <v>5</v>
      </c>
      <c r="M102" t="s">
        <v>37</v>
      </c>
      <c r="N102" t="s">
        <v>2117</v>
      </c>
      <c r="O102" t="s">
        <v>2116</v>
      </c>
      <c r="P102" t="s">
        <v>37</v>
      </c>
    </row>
    <row r="103" spans="1:16" x14ac:dyDescent="0.25">
      <c r="A103" s="4" t="s">
        <v>266</v>
      </c>
      <c r="B103" s="4" t="s">
        <v>1905</v>
      </c>
      <c r="C103" s="4" t="str">
        <f t="shared" si="1"/>
        <v>KIWZP12_S1</v>
      </c>
      <c r="D103" s="4" t="s">
        <v>2118</v>
      </c>
      <c r="E103" s="4">
        <v>1</v>
      </c>
      <c r="F103" t="s">
        <v>2119</v>
      </c>
      <c r="G103" s="4" t="s">
        <v>54</v>
      </c>
      <c r="H103" t="s">
        <v>1912</v>
      </c>
      <c r="I103" s="4" t="s">
        <v>36</v>
      </c>
      <c r="J103">
        <v>36</v>
      </c>
      <c r="K103">
        <v>0</v>
      </c>
      <c r="L103" t="s">
        <v>5</v>
      </c>
      <c r="M103" t="s">
        <v>37</v>
      </c>
      <c r="N103" t="s">
        <v>37</v>
      </c>
      <c r="O103" t="s">
        <v>2120</v>
      </c>
      <c r="P103" t="s">
        <v>37</v>
      </c>
    </row>
    <row r="104" spans="1:16" x14ac:dyDescent="0.25">
      <c r="A104" s="4" t="s">
        <v>266</v>
      </c>
      <c r="B104" s="4" t="s">
        <v>1905</v>
      </c>
      <c r="C104" s="4" t="str">
        <f t="shared" si="1"/>
        <v>KIWZP12_S2</v>
      </c>
      <c r="D104" s="4" t="s">
        <v>2118</v>
      </c>
      <c r="E104" s="4">
        <v>2</v>
      </c>
      <c r="F104" t="s">
        <v>2119</v>
      </c>
      <c r="G104" s="4" t="s">
        <v>2121</v>
      </c>
      <c r="H104" t="s">
        <v>1912</v>
      </c>
      <c r="I104" s="4" t="s">
        <v>36</v>
      </c>
      <c r="J104">
        <v>36</v>
      </c>
      <c r="K104">
        <v>100</v>
      </c>
      <c r="L104" t="s">
        <v>5</v>
      </c>
      <c r="M104" t="s">
        <v>37</v>
      </c>
      <c r="N104" t="s">
        <v>2122</v>
      </c>
      <c r="O104" t="s">
        <v>2120</v>
      </c>
      <c r="P104" t="s">
        <v>37</v>
      </c>
    </row>
    <row r="105" spans="1:16" x14ac:dyDescent="0.25">
      <c r="A105" s="4" t="s">
        <v>266</v>
      </c>
      <c r="B105" s="4" t="s">
        <v>1905</v>
      </c>
      <c r="C105" s="4" t="str">
        <f t="shared" si="1"/>
        <v>KIWZP12_S3</v>
      </c>
      <c r="D105" s="4" t="s">
        <v>2118</v>
      </c>
      <c r="E105" s="4">
        <v>3</v>
      </c>
      <c r="F105" t="s">
        <v>2119</v>
      </c>
      <c r="G105" s="4" t="s">
        <v>2123</v>
      </c>
      <c r="H105" t="s">
        <v>1912</v>
      </c>
      <c r="I105" s="4" t="s">
        <v>36</v>
      </c>
      <c r="J105">
        <v>36</v>
      </c>
      <c r="K105">
        <v>50</v>
      </c>
      <c r="L105" t="s">
        <v>5</v>
      </c>
      <c r="M105" t="s">
        <v>37</v>
      </c>
      <c r="N105" t="s">
        <v>2124</v>
      </c>
      <c r="O105" t="s">
        <v>37</v>
      </c>
      <c r="P105" t="s">
        <v>37</v>
      </c>
    </row>
    <row r="106" spans="1:16" x14ac:dyDescent="0.25">
      <c r="A106" s="4" t="s">
        <v>266</v>
      </c>
      <c r="B106" s="4" t="s">
        <v>1905</v>
      </c>
      <c r="C106" s="4" t="str">
        <f t="shared" si="1"/>
        <v>KIWZP12_S4</v>
      </c>
      <c r="D106" s="4" t="s">
        <v>2118</v>
      </c>
      <c r="E106" s="4">
        <v>4</v>
      </c>
      <c r="F106" t="s">
        <v>2119</v>
      </c>
      <c r="G106" s="4" t="s">
        <v>2125</v>
      </c>
      <c r="H106" t="s">
        <v>1912</v>
      </c>
      <c r="I106" s="4" t="s">
        <v>36</v>
      </c>
      <c r="J106">
        <v>36</v>
      </c>
      <c r="K106">
        <v>50</v>
      </c>
      <c r="L106" t="s">
        <v>5</v>
      </c>
      <c r="M106" t="s">
        <v>37</v>
      </c>
      <c r="N106" t="s">
        <v>2126</v>
      </c>
      <c r="O106" t="s">
        <v>37</v>
      </c>
      <c r="P106" t="s">
        <v>37</v>
      </c>
    </row>
    <row r="107" spans="1:16" x14ac:dyDescent="0.25">
      <c r="A107" s="4" t="s">
        <v>266</v>
      </c>
      <c r="B107" s="4" t="s">
        <v>1905</v>
      </c>
      <c r="C107" s="4" t="str">
        <f t="shared" si="1"/>
        <v>KIWZP12_S5</v>
      </c>
      <c r="D107" s="4" t="s">
        <v>2118</v>
      </c>
      <c r="E107" s="4">
        <v>5</v>
      </c>
      <c r="F107" t="s">
        <v>2119</v>
      </c>
      <c r="G107" s="4" t="s">
        <v>2127</v>
      </c>
      <c r="H107" t="s">
        <v>1912</v>
      </c>
      <c r="I107" s="4" t="s">
        <v>36</v>
      </c>
      <c r="J107">
        <v>36</v>
      </c>
      <c r="K107">
        <v>200</v>
      </c>
      <c r="L107" t="s">
        <v>5</v>
      </c>
      <c r="M107" t="s">
        <v>37</v>
      </c>
      <c r="N107" t="s">
        <v>2128</v>
      </c>
      <c r="O107" t="s">
        <v>37</v>
      </c>
      <c r="P107" t="s">
        <v>37</v>
      </c>
    </row>
    <row r="108" spans="1:16" x14ac:dyDescent="0.25">
      <c r="A108" s="4" t="s">
        <v>266</v>
      </c>
      <c r="B108" s="4" t="s">
        <v>1905</v>
      </c>
      <c r="C108" s="4" t="str">
        <f t="shared" si="1"/>
        <v>KIWZP13_S1</v>
      </c>
      <c r="D108" s="4" t="s">
        <v>2129</v>
      </c>
      <c r="E108" s="4">
        <v>1</v>
      </c>
      <c r="F108" t="s">
        <v>2130</v>
      </c>
      <c r="G108" s="4" t="s">
        <v>54</v>
      </c>
      <c r="H108" t="s">
        <v>1912</v>
      </c>
      <c r="I108" s="4" t="s">
        <v>36</v>
      </c>
      <c r="J108">
        <v>36</v>
      </c>
      <c r="K108">
        <v>0</v>
      </c>
      <c r="L108" t="s">
        <v>5</v>
      </c>
      <c r="M108" t="s">
        <v>37</v>
      </c>
      <c r="N108" t="s">
        <v>37</v>
      </c>
      <c r="O108" t="s">
        <v>2131</v>
      </c>
      <c r="P108" t="s">
        <v>37</v>
      </c>
    </row>
    <row r="109" spans="1:16" x14ac:dyDescent="0.25">
      <c r="A109" s="4" t="s">
        <v>266</v>
      </c>
      <c r="B109" s="4" t="s">
        <v>1905</v>
      </c>
      <c r="C109" s="4" t="str">
        <f t="shared" si="1"/>
        <v>KIWZP13_S2</v>
      </c>
      <c r="D109" s="4" t="s">
        <v>2129</v>
      </c>
      <c r="E109" s="4">
        <v>2</v>
      </c>
      <c r="F109" t="s">
        <v>2130</v>
      </c>
      <c r="G109" s="4" t="s">
        <v>2132</v>
      </c>
      <c r="H109" t="s">
        <v>1912</v>
      </c>
      <c r="I109" s="4" t="s">
        <v>36</v>
      </c>
      <c r="J109">
        <v>36</v>
      </c>
      <c r="K109">
        <v>100</v>
      </c>
      <c r="L109" t="s">
        <v>5</v>
      </c>
      <c r="M109" t="s">
        <v>37</v>
      </c>
      <c r="N109" t="s">
        <v>2133</v>
      </c>
      <c r="O109" t="s">
        <v>2131</v>
      </c>
      <c r="P109" t="s">
        <v>37</v>
      </c>
    </row>
    <row r="110" spans="1:16" x14ac:dyDescent="0.25">
      <c r="A110" s="4" t="s">
        <v>266</v>
      </c>
      <c r="B110" s="4" t="s">
        <v>1905</v>
      </c>
      <c r="C110" s="4" t="str">
        <f t="shared" si="1"/>
        <v>KIWZP13_S3</v>
      </c>
      <c r="D110" s="4" t="s">
        <v>2129</v>
      </c>
      <c r="E110" s="4">
        <v>3</v>
      </c>
      <c r="F110" t="s">
        <v>2130</v>
      </c>
      <c r="G110" s="4" t="s">
        <v>2134</v>
      </c>
      <c r="H110" t="s">
        <v>1912</v>
      </c>
      <c r="I110" s="4" t="s">
        <v>36</v>
      </c>
      <c r="J110">
        <v>36</v>
      </c>
      <c r="K110">
        <v>100</v>
      </c>
      <c r="L110" t="s">
        <v>5</v>
      </c>
      <c r="M110" t="s">
        <v>37</v>
      </c>
      <c r="N110" t="s">
        <v>2135</v>
      </c>
      <c r="O110" t="s">
        <v>37</v>
      </c>
      <c r="P110" t="s">
        <v>37</v>
      </c>
    </row>
    <row r="111" spans="1:16" x14ac:dyDescent="0.25">
      <c r="A111" s="4" t="s">
        <v>266</v>
      </c>
      <c r="B111" s="4" t="s">
        <v>1905</v>
      </c>
      <c r="C111" s="4" t="str">
        <f t="shared" si="1"/>
        <v>KIWZP13_S4</v>
      </c>
      <c r="D111" s="4" t="s">
        <v>2129</v>
      </c>
      <c r="E111" s="4">
        <v>4</v>
      </c>
      <c r="F111" t="s">
        <v>2130</v>
      </c>
      <c r="G111" s="4" t="s">
        <v>2136</v>
      </c>
      <c r="H111" t="s">
        <v>1912</v>
      </c>
      <c r="I111" s="4" t="s">
        <v>36</v>
      </c>
      <c r="J111">
        <v>36</v>
      </c>
      <c r="K111">
        <v>100</v>
      </c>
      <c r="L111" t="s">
        <v>5</v>
      </c>
      <c r="M111" t="s">
        <v>37</v>
      </c>
      <c r="N111" t="s">
        <v>2137</v>
      </c>
      <c r="O111" t="s">
        <v>37</v>
      </c>
      <c r="P111" t="s">
        <v>37</v>
      </c>
    </row>
    <row r="112" spans="1:16" x14ac:dyDescent="0.25">
      <c r="A112" s="4" t="s">
        <v>266</v>
      </c>
      <c r="B112" s="4" t="s">
        <v>1905</v>
      </c>
      <c r="C112" s="4" t="str">
        <f t="shared" si="1"/>
        <v>KIWZP13_S5</v>
      </c>
      <c r="D112" s="4" t="s">
        <v>2129</v>
      </c>
      <c r="E112" s="4">
        <v>5</v>
      </c>
      <c r="F112" t="s">
        <v>2130</v>
      </c>
      <c r="G112" s="4" t="s">
        <v>1931</v>
      </c>
      <c r="H112" t="s">
        <v>1912</v>
      </c>
      <c r="I112" s="4" t="s">
        <v>36</v>
      </c>
      <c r="J112">
        <v>36</v>
      </c>
      <c r="K112">
        <v>100</v>
      </c>
      <c r="L112" t="s">
        <v>5</v>
      </c>
      <c r="M112" t="s">
        <v>37</v>
      </c>
      <c r="N112" t="s">
        <v>2138</v>
      </c>
      <c r="O112" t="s">
        <v>37</v>
      </c>
      <c r="P112" t="s">
        <v>37</v>
      </c>
    </row>
    <row r="113" spans="1:16" x14ac:dyDescent="0.25">
      <c r="A113" s="4" t="s">
        <v>266</v>
      </c>
      <c r="B113" s="4" t="s">
        <v>1905</v>
      </c>
      <c r="C113" s="4" t="str">
        <f t="shared" si="1"/>
        <v>KIWZP14_S1</v>
      </c>
      <c r="D113" s="4" t="s">
        <v>2139</v>
      </c>
      <c r="E113" s="4">
        <v>1</v>
      </c>
      <c r="F113" t="s">
        <v>2140</v>
      </c>
      <c r="G113" s="4" t="s">
        <v>54</v>
      </c>
      <c r="H113" t="s">
        <v>1912</v>
      </c>
      <c r="I113" s="4" t="s">
        <v>36</v>
      </c>
      <c r="J113">
        <v>36</v>
      </c>
      <c r="K113">
        <v>0</v>
      </c>
      <c r="L113" t="s">
        <v>5</v>
      </c>
      <c r="M113" t="s">
        <v>37</v>
      </c>
      <c r="N113" t="s">
        <v>37</v>
      </c>
      <c r="O113" t="s">
        <v>2141</v>
      </c>
      <c r="P113" t="s">
        <v>37</v>
      </c>
    </row>
    <row r="114" spans="1:16" x14ac:dyDescent="0.25">
      <c r="A114" s="4" t="s">
        <v>266</v>
      </c>
      <c r="B114" s="4" t="s">
        <v>1905</v>
      </c>
      <c r="C114" s="4" t="str">
        <f t="shared" si="1"/>
        <v>KIWZP14_S2a</v>
      </c>
      <c r="D114" s="4" t="s">
        <v>2139</v>
      </c>
      <c r="E114" s="4" t="s">
        <v>72</v>
      </c>
      <c r="F114" t="s">
        <v>2140</v>
      </c>
      <c r="G114" s="4" t="s">
        <v>2142</v>
      </c>
      <c r="H114" t="s">
        <v>1912</v>
      </c>
      <c r="I114" s="4" t="s">
        <v>36</v>
      </c>
      <c r="J114">
        <v>36</v>
      </c>
      <c r="K114">
        <v>100</v>
      </c>
      <c r="L114" t="s">
        <v>5</v>
      </c>
      <c r="M114" t="s">
        <v>37</v>
      </c>
      <c r="N114" t="s">
        <v>2143</v>
      </c>
      <c r="O114" t="s">
        <v>2141</v>
      </c>
      <c r="P114" t="s">
        <v>2144</v>
      </c>
    </row>
    <row r="115" spans="1:16" x14ac:dyDescent="0.25">
      <c r="A115" s="4" t="s">
        <v>266</v>
      </c>
      <c r="B115" s="4" t="s">
        <v>1905</v>
      </c>
      <c r="C115" s="4" t="str">
        <f t="shared" si="1"/>
        <v>KIWZP14_S2b</v>
      </c>
      <c r="D115" s="4" t="s">
        <v>2139</v>
      </c>
      <c r="E115" s="4" t="s">
        <v>75</v>
      </c>
      <c r="F115" t="s">
        <v>2140</v>
      </c>
      <c r="G115" s="4" t="s">
        <v>2145</v>
      </c>
      <c r="H115" t="s">
        <v>1912</v>
      </c>
      <c r="I115" s="4" t="s">
        <v>36</v>
      </c>
      <c r="J115">
        <v>36</v>
      </c>
      <c r="K115">
        <v>50</v>
      </c>
      <c r="L115" t="s">
        <v>5</v>
      </c>
      <c r="M115" t="s">
        <v>37</v>
      </c>
      <c r="N115" t="s">
        <v>2143</v>
      </c>
      <c r="O115" t="s">
        <v>2141</v>
      </c>
      <c r="P115" t="s">
        <v>2146</v>
      </c>
    </row>
    <row r="116" spans="1:16" x14ac:dyDescent="0.25">
      <c r="A116" s="4" t="s">
        <v>266</v>
      </c>
      <c r="B116" s="4" t="s">
        <v>1905</v>
      </c>
      <c r="C116" s="4" t="str">
        <f t="shared" si="1"/>
        <v>KIWZP14_S3c</v>
      </c>
      <c r="D116" s="4" t="s">
        <v>2139</v>
      </c>
      <c r="E116" s="4" t="s">
        <v>80</v>
      </c>
      <c r="F116" t="s">
        <v>2140</v>
      </c>
      <c r="G116" s="4" t="s">
        <v>2147</v>
      </c>
      <c r="H116" t="s">
        <v>1912</v>
      </c>
      <c r="I116" s="4" t="s">
        <v>36</v>
      </c>
      <c r="J116">
        <v>36</v>
      </c>
      <c r="K116">
        <v>75</v>
      </c>
      <c r="L116" t="s">
        <v>5</v>
      </c>
      <c r="M116" t="s">
        <v>37</v>
      </c>
      <c r="N116" t="s">
        <v>2148</v>
      </c>
      <c r="O116" t="s">
        <v>37</v>
      </c>
      <c r="P116" t="s">
        <v>2149</v>
      </c>
    </row>
    <row r="117" spans="1:16" x14ac:dyDescent="0.25">
      <c r="A117" s="4" t="s">
        <v>266</v>
      </c>
      <c r="B117" s="4" t="s">
        <v>1905</v>
      </c>
      <c r="C117" s="4" t="str">
        <f t="shared" si="1"/>
        <v>KIWZP14_S3d</v>
      </c>
      <c r="D117" s="4" t="s">
        <v>2139</v>
      </c>
      <c r="E117" s="4" t="s">
        <v>2150</v>
      </c>
      <c r="F117" t="s">
        <v>2140</v>
      </c>
      <c r="G117" s="4" t="s">
        <v>2151</v>
      </c>
      <c r="H117" t="s">
        <v>1912</v>
      </c>
      <c r="I117" s="4" t="s">
        <v>36</v>
      </c>
      <c r="J117">
        <v>36</v>
      </c>
      <c r="K117">
        <v>0</v>
      </c>
      <c r="L117" t="s">
        <v>5</v>
      </c>
      <c r="M117" t="s">
        <v>37</v>
      </c>
      <c r="N117" t="s">
        <v>2148</v>
      </c>
      <c r="O117" t="s">
        <v>37</v>
      </c>
      <c r="P117" t="s">
        <v>2152</v>
      </c>
    </row>
    <row r="118" spans="1:16" x14ac:dyDescent="0.25">
      <c r="A118" s="4" t="s">
        <v>266</v>
      </c>
      <c r="B118" s="4" t="s">
        <v>1905</v>
      </c>
      <c r="C118" s="4" t="str">
        <f t="shared" si="1"/>
        <v>KIWZP15_S1</v>
      </c>
      <c r="D118" s="4" t="s">
        <v>2153</v>
      </c>
      <c r="E118" s="4">
        <v>1</v>
      </c>
      <c r="F118" t="s">
        <v>2154</v>
      </c>
      <c r="G118" s="4" t="s">
        <v>54</v>
      </c>
      <c r="H118" t="s">
        <v>1912</v>
      </c>
      <c r="I118" s="4" t="s">
        <v>36</v>
      </c>
      <c r="J118">
        <v>37</v>
      </c>
      <c r="K118">
        <v>0</v>
      </c>
      <c r="L118" t="s">
        <v>5</v>
      </c>
      <c r="M118" t="s">
        <v>37</v>
      </c>
      <c r="N118" t="s">
        <v>37</v>
      </c>
      <c r="O118" t="s">
        <v>2155</v>
      </c>
      <c r="P118" t="s">
        <v>37</v>
      </c>
    </row>
    <row r="119" spans="1:16" x14ac:dyDescent="0.25">
      <c r="A119" s="4" t="s">
        <v>266</v>
      </c>
      <c r="B119" s="4" t="s">
        <v>1905</v>
      </c>
      <c r="C119" s="4" t="str">
        <f t="shared" si="1"/>
        <v>KIWZP15_S2</v>
      </c>
      <c r="D119" s="4" t="s">
        <v>2153</v>
      </c>
      <c r="E119" s="4">
        <v>2</v>
      </c>
      <c r="F119" t="s">
        <v>2154</v>
      </c>
      <c r="G119" s="4" t="s">
        <v>49</v>
      </c>
      <c r="H119" t="s">
        <v>1912</v>
      </c>
      <c r="I119" s="4" t="s">
        <v>36</v>
      </c>
      <c r="J119">
        <v>37</v>
      </c>
      <c r="K119">
        <v>0</v>
      </c>
      <c r="L119" t="s">
        <v>5</v>
      </c>
      <c r="M119" t="s">
        <v>37</v>
      </c>
      <c r="N119" t="s">
        <v>2156</v>
      </c>
      <c r="O119" t="s">
        <v>2155</v>
      </c>
      <c r="P119" t="s">
        <v>37</v>
      </c>
    </row>
    <row r="120" spans="1:16" x14ac:dyDescent="0.25">
      <c r="A120" s="4" t="s">
        <v>266</v>
      </c>
      <c r="B120" s="4" t="s">
        <v>1905</v>
      </c>
      <c r="C120" s="4" t="str">
        <f t="shared" si="1"/>
        <v>KIWZP16_S1</v>
      </c>
      <c r="D120" s="4" t="s">
        <v>2157</v>
      </c>
      <c r="E120" s="4">
        <v>1</v>
      </c>
      <c r="F120" t="s">
        <v>2158</v>
      </c>
      <c r="G120" s="4" t="s">
        <v>54</v>
      </c>
      <c r="H120" t="s">
        <v>1912</v>
      </c>
      <c r="I120" s="4" t="s">
        <v>36</v>
      </c>
      <c r="J120">
        <v>37</v>
      </c>
      <c r="K120">
        <v>0</v>
      </c>
      <c r="L120" t="s">
        <v>5</v>
      </c>
      <c r="M120" t="s">
        <v>37</v>
      </c>
      <c r="N120" t="s">
        <v>37</v>
      </c>
      <c r="O120" t="s">
        <v>2159</v>
      </c>
      <c r="P120" t="s">
        <v>37</v>
      </c>
    </row>
    <row r="121" spans="1:16" x14ac:dyDescent="0.25">
      <c r="A121" s="4" t="s">
        <v>266</v>
      </c>
      <c r="B121" s="4" t="s">
        <v>1905</v>
      </c>
      <c r="C121" s="4" t="str">
        <f t="shared" si="1"/>
        <v>KIWZP16_S2</v>
      </c>
      <c r="D121" s="4" t="s">
        <v>2157</v>
      </c>
      <c r="E121" s="4">
        <v>2</v>
      </c>
      <c r="F121" t="s">
        <v>2158</v>
      </c>
      <c r="G121" s="4" t="s">
        <v>2160</v>
      </c>
      <c r="H121" t="s">
        <v>1912</v>
      </c>
      <c r="I121" s="4" t="s">
        <v>36</v>
      </c>
      <c r="J121">
        <v>37</v>
      </c>
      <c r="K121">
        <v>100</v>
      </c>
      <c r="L121" t="s">
        <v>5</v>
      </c>
      <c r="M121" t="s">
        <v>37</v>
      </c>
      <c r="N121" t="s">
        <v>2161</v>
      </c>
      <c r="O121" t="s">
        <v>2159</v>
      </c>
      <c r="P121" t="s">
        <v>37</v>
      </c>
    </row>
    <row r="122" spans="1:16" x14ac:dyDescent="0.25">
      <c r="A122" s="4" t="s">
        <v>266</v>
      </c>
      <c r="B122" s="4" t="s">
        <v>1905</v>
      </c>
      <c r="C122" s="4" t="str">
        <f t="shared" si="1"/>
        <v>KIWZP16_S3</v>
      </c>
      <c r="D122" s="4" t="s">
        <v>2157</v>
      </c>
      <c r="E122" s="4">
        <v>3</v>
      </c>
      <c r="F122" t="s">
        <v>2158</v>
      </c>
      <c r="G122" s="4" t="s">
        <v>49</v>
      </c>
      <c r="H122" t="s">
        <v>1912</v>
      </c>
      <c r="I122" s="4" t="s">
        <v>36</v>
      </c>
      <c r="J122">
        <v>37</v>
      </c>
      <c r="K122">
        <v>100</v>
      </c>
      <c r="L122" t="s">
        <v>5</v>
      </c>
      <c r="M122" t="s">
        <v>37</v>
      </c>
      <c r="N122" t="s">
        <v>2162</v>
      </c>
      <c r="O122" t="s">
        <v>37</v>
      </c>
      <c r="P122" t="s">
        <v>37</v>
      </c>
    </row>
    <row r="123" spans="1:16" x14ac:dyDescent="0.25">
      <c r="A123" s="4" t="s">
        <v>266</v>
      </c>
      <c r="B123" s="4" t="s">
        <v>1905</v>
      </c>
      <c r="C123" s="4" t="str">
        <f t="shared" si="1"/>
        <v>KIWZP17_S1</v>
      </c>
      <c r="D123" s="4" t="s">
        <v>2163</v>
      </c>
      <c r="E123" s="4">
        <v>1</v>
      </c>
      <c r="F123" t="s">
        <v>2164</v>
      </c>
      <c r="G123" s="4" t="s">
        <v>54</v>
      </c>
      <c r="H123" t="s">
        <v>1912</v>
      </c>
      <c r="I123" s="4" t="s">
        <v>36</v>
      </c>
      <c r="J123">
        <v>37</v>
      </c>
      <c r="K123">
        <v>0</v>
      </c>
      <c r="L123" t="s">
        <v>5</v>
      </c>
      <c r="M123" t="s">
        <v>37</v>
      </c>
      <c r="N123" t="s">
        <v>37</v>
      </c>
      <c r="O123" t="s">
        <v>2165</v>
      </c>
      <c r="P123" t="s">
        <v>37</v>
      </c>
    </row>
    <row r="124" spans="1:16" x14ac:dyDescent="0.25">
      <c r="A124" s="4" t="s">
        <v>266</v>
      </c>
      <c r="B124" s="4" t="s">
        <v>1905</v>
      </c>
      <c r="C124" s="4" t="str">
        <f t="shared" si="1"/>
        <v>KIWZP17_S2</v>
      </c>
      <c r="D124" s="4" t="s">
        <v>2163</v>
      </c>
      <c r="E124" s="4">
        <v>2</v>
      </c>
      <c r="F124" t="s">
        <v>2164</v>
      </c>
      <c r="G124" s="4" t="s">
        <v>49</v>
      </c>
      <c r="H124" t="s">
        <v>1912</v>
      </c>
      <c r="I124" s="4" t="s">
        <v>36</v>
      </c>
      <c r="J124">
        <v>37</v>
      </c>
      <c r="K124">
        <v>100</v>
      </c>
      <c r="L124" t="s">
        <v>5</v>
      </c>
      <c r="M124" t="s">
        <v>37</v>
      </c>
      <c r="N124" t="s">
        <v>2166</v>
      </c>
      <c r="O124" t="s">
        <v>2165</v>
      </c>
      <c r="P124" t="s">
        <v>37</v>
      </c>
    </row>
    <row r="125" spans="1:16" x14ac:dyDescent="0.25">
      <c r="A125" s="4" t="s">
        <v>266</v>
      </c>
      <c r="B125" s="4" t="s">
        <v>1905</v>
      </c>
      <c r="C125" s="4" t="str">
        <f t="shared" si="1"/>
        <v>KIWZP18_S1</v>
      </c>
      <c r="D125" s="4" t="s">
        <v>2167</v>
      </c>
      <c r="E125" s="4">
        <v>1</v>
      </c>
      <c r="F125" t="s">
        <v>2168</v>
      </c>
      <c r="G125" s="4" t="s">
        <v>54</v>
      </c>
      <c r="H125" t="s">
        <v>1912</v>
      </c>
      <c r="I125" s="4" t="s">
        <v>36</v>
      </c>
      <c r="J125">
        <v>37</v>
      </c>
      <c r="K125">
        <v>0</v>
      </c>
      <c r="L125" t="s">
        <v>5</v>
      </c>
      <c r="M125" t="s">
        <v>37</v>
      </c>
      <c r="N125" t="s">
        <v>37</v>
      </c>
      <c r="O125" t="s">
        <v>2169</v>
      </c>
      <c r="P125" t="s">
        <v>37</v>
      </c>
    </row>
    <row r="126" spans="1:16" x14ac:dyDescent="0.25">
      <c r="A126" s="4" t="s">
        <v>266</v>
      </c>
      <c r="B126" s="4" t="s">
        <v>1905</v>
      </c>
      <c r="C126" s="4" t="str">
        <f t="shared" si="1"/>
        <v>KIWZP18_S2</v>
      </c>
      <c r="D126" s="4" t="s">
        <v>2167</v>
      </c>
      <c r="E126" s="4">
        <v>2</v>
      </c>
      <c r="F126" t="s">
        <v>2168</v>
      </c>
      <c r="G126" s="4" t="s">
        <v>2170</v>
      </c>
      <c r="H126" t="s">
        <v>1912</v>
      </c>
      <c r="I126" s="4" t="s">
        <v>36</v>
      </c>
      <c r="J126">
        <v>37</v>
      </c>
      <c r="K126">
        <v>150</v>
      </c>
      <c r="L126" t="s">
        <v>5</v>
      </c>
      <c r="M126" t="s">
        <v>37</v>
      </c>
      <c r="N126" t="s">
        <v>2171</v>
      </c>
      <c r="O126" t="s">
        <v>2169</v>
      </c>
      <c r="P126" t="s">
        <v>37</v>
      </c>
    </row>
    <row r="127" spans="1:16" x14ac:dyDescent="0.25">
      <c r="A127" s="4" t="s">
        <v>266</v>
      </c>
      <c r="B127" s="4" t="s">
        <v>1905</v>
      </c>
      <c r="C127" s="4" t="str">
        <f t="shared" si="1"/>
        <v>KIWZP18_S3</v>
      </c>
      <c r="D127" s="4" t="s">
        <v>2167</v>
      </c>
      <c r="E127" s="4">
        <v>3</v>
      </c>
      <c r="F127" t="s">
        <v>2168</v>
      </c>
      <c r="G127" s="4" t="s">
        <v>2172</v>
      </c>
      <c r="H127" t="s">
        <v>1912</v>
      </c>
      <c r="I127" s="4" t="s">
        <v>36</v>
      </c>
      <c r="J127">
        <v>37</v>
      </c>
      <c r="K127">
        <v>100</v>
      </c>
      <c r="L127" t="s">
        <v>5</v>
      </c>
      <c r="M127" t="s">
        <v>37</v>
      </c>
      <c r="N127" t="s">
        <v>2173</v>
      </c>
      <c r="O127" t="s">
        <v>37</v>
      </c>
      <c r="P127" t="s">
        <v>37</v>
      </c>
    </row>
    <row r="128" spans="1:16" x14ac:dyDescent="0.25">
      <c r="A128" s="4" t="s">
        <v>266</v>
      </c>
      <c r="B128" s="4" t="s">
        <v>1905</v>
      </c>
      <c r="C128" s="4" t="str">
        <f t="shared" si="1"/>
        <v>KIWZP19_S1</v>
      </c>
      <c r="D128" s="4" t="s">
        <v>2174</v>
      </c>
      <c r="E128" s="4">
        <v>1</v>
      </c>
      <c r="F128" t="s">
        <v>2175</v>
      </c>
      <c r="G128" s="4" t="s">
        <v>54</v>
      </c>
      <c r="H128" t="s">
        <v>1912</v>
      </c>
      <c r="I128" s="4" t="s">
        <v>36</v>
      </c>
      <c r="J128">
        <v>37</v>
      </c>
      <c r="K128">
        <v>0</v>
      </c>
      <c r="L128" t="s">
        <v>5</v>
      </c>
      <c r="M128" t="s">
        <v>37</v>
      </c>
      <c r="N128" t="s">
        <v>37</v>
      </c>
      <c r="O128" t="s">
        <v>2176</v>
      </c>
      <c r="P128" t="s">
        <v>37</v>
      </c>
    </row>
    <row r="129" spans="1:16" x14ac:dyDescent="0.25">
      <c r="A129" s="4" t="s">
        <v>266</v>
      </c>
      <c r="B129" s="4" t="s">
        <v>1905</v>
      </c>
      <c r="C129" s="4" t="str">
        <f t="shared" si="1"/>
        <v>KIWZP19_S2</v>
      </c>
      <c r="D129" s="4" t="s">
        <v>2174</v>
      </c>
      <c r="E129" s="4">
        <v>2</v>
      </c>
      <c r="F129" t="s">
        <v>2175</v>
      </c>
      <c r="G129" s="4" t="s">
        <v>2177</v>
      </c>
      <c r="H129" t="s">
        <v>1912</v>
      </c>
      <c r="I129" s="4" t="s">
        <v>36</v>
      </c>
      <c r="J129">
        <v>37</v>
      </c>
      <c r="K129">
        <v>150</v>
      </c>
      <c r="L129" t="s">
        <v>5</v>
      </c>
      <c r="M129" t="s">
        <v>37</v>
      </c>
      <c r="N129" t="s">
        <v>2178</v>
      </c>
      <c r="O129" t="s">
        <v>2176</v>
      </c>
      <c r="P129" t="s">
        <v>37</v>
      </c>
    </row>
    <row r="130" spans="1:16" x14ac:dyDescent="0.25">
      <c r="A130" s="4" t="s">
        <v>266</v>
      </c>
      <c r="B130" s="4" t="s">
        <v>1905</v>
      </c>
      <c r="C130" s="4" t="str">
        <f t="shared" ref="C130:C193" si="2">_xlfn.CONCAT(D130,"_S",E130)</f>
        <v>KIWZP19_S3</v>
      </c>
      <c r="D130" s="4" t="s">
        <v>2174</v>
      </c>
      <c r="E130" s="4">
        <v>3</v>
      </c>
      <c r="F130" t="s">
        <v>2175</v>
      </c>
      <c r="G130" s="4" t="s">
        <v>49</v>
      </c>
      <c r="H130" t="s">
        <v>1912</v>
      </c>
      <c r="I130" s="4" t="s">
        <v>36</v>
      </c>
      <c r="J130">
        <v>37</v>
      </c>
      <c r="K130">
        <v>150</v>
      </c>
      <c r="L130" t="s">
        <v>5</v>
      </c>
      <c r="M130" t="s">
        <v>37</v>
      </c>
      <c r="N130" t="s">
        <v>2179</v>
      </c>
      <c r="O130" t="s">
        <v>37</v>
      </c>
      <c r="P130" t="s">
        <v>37</v>
      </c>
    </row>
    <row r="131" spans="1:16" x14ac:dyDescent="0.25">
      <c r="A131" s="4" t="s">
        <v>266</v>
      </c>
      <c r="B131" s="4" t="s">
        <v>1905</v>
      </c>
      <c r="C131" s="4" t="str">
        <f t="shared" si="2"/>
        <v>KIWZP20_S1</v>
      </c>
      <c r="D131" s="4" t="s">
        <v>2180</v>
      </c>
      <c r="E131" s="4">
        <v>1</v>
      </c>
      <c r="F131" t="s">
        <v>2181</v>
      </c>
      <c r="G131" s="4" t="s">
        <v>54</v>
      </c>
      <c r="H131" t="s">
        <v>1912</v>
      </c>
      <c r="I131" s="4" t="s">
        <v>36</v>
      </c>
      <c r="J131">
        <v>38</v>
      </c>
      <c r="K131">
        <v>0</v>
      </c>
      <c r="L131" t="s">
        <v>5</v>
      </c>
      <c r="M131" t="s">
        <v>37</v>
      </c>
      <c r="N131" t="s">
        <v>37</v>
      </c>
      <c r="O131" t="s">
        <v>2182</v>
      </c>
      <c r="P131" t="s">
        <v>37</v>
      </c>
    </row>
    <row r="132" spans="1:16" x14ac:dyDescent="0.25">
      <c r="A132" s="4" t="s">
        <v>266</v>
      </c>
      <c r="B132" s="4" t="s">
        <v>1905</v>
      </c>
      <c r="C132" s="4" t="str">
        <f t="shared" si="2"/>
        <v>KIWZP20_S2</v>
      </c>
      <c r="D132" s="4" t="s">
        <v>2180</v>
      </c>
      <c r="E132" s="4">
        <v>2</v>
      </c>
      <c r="F132" t="s">
        <v>2181</v>
      </c>
      <c r="G132" s="4" t="s">
        <v>2183</v>
      </c>
      <c r="H132" t="s">
        <v>1912</v>
      </c>
      <c r="I132" s="4" t="s">
        <v>36</v>
      </c>
      <c r="J132">
        <v>38</v>
      </c>
      <c r="K132">
        <v>100</v>
      </c>
      <c r="L132" t="s">
        <v>5</v>
      </c>
      <c r="M132" t="s">
        <v>37</v>
      </c>
      <c r="N132" t="s">
        <v>2184</v>
      </c>
      <c r="O132" t="s">
        <v>2182</v>
      </c>
      <c r="P132" t="s">
        <v>37</v>
      </c>
    </row>
    <row r="133" spans="1:16" x14ac:dyDescent="0.25">
      <c r="A133" s="4" t="s">
        <v>266</v>
      </c>
      <c r="B133" s="4" t="s">
        <v>1905</v>
      </c>
      <c r="C133" s="4" t="str">
        <f t="shared" si="2"/>
        <v>KIWZP20_S3</v>
      </c>
      <c r="D133" s="4" t="s">
        <v>2180</v>
      </c>
      <c r="E133" s="4">
        <v>3</v>
      </c>
      <c r="F133" t="s">
        <v>2181</v>
      </c>
      <c r="G133" s="4" t="s">
        <v>2185</v>
      </c>
      <c r="H133" t="s">
        <v>1912</v>
      </c>
      <c r="I133" s="4" t="s">
        <v>36</v>
      </c>
      <c r="J133">
        <v>38</v>
      </c>
      <c r="K133">
        <v>250</v>
      </c>
      <c r="L133" t="s">
        <v>5</v>
      </c>
      <c r="M133" t="s">
        <v>37</v>
      </c>
      <c r="N133" t="s">
        <v>2186</v>
      </c>
      <c r="O133" t="s">
        <v>37</v>
      </c>
      <c r="P133" t="s">
        <v>37</v>
      </c>
    </row>
    <row r="134" spans="1:16" x14ac:dyDescent="0.25">
      <c r="A134" s="4" t="s">
        <v>266</v>
      </c>
      <c r="B134" s="4" t="s">
        <v>1905</v>
      </c>
      <c r="C134" s="4" t="str">
        <f t="shared" si="2"/>
        <v>KIWZP21_S1</v>
      </c>
      <c r="D134" s="4" t="s">
        <v>2187</v>
      </c>
      <c r="E134" s="4">
        <v>1</v>
      </c>
      <c r="F134" t="s">
        <v>2188</v>
      </c>
      <c r="G134" s="4" t="s">
        <v>54</v>
      </c>
      <c r="H134" t="s">
        <v>1912</v>
      </c>
      <c r="I134" s="4" t="s">
        <v>36</v>
      </c>
      <c r="J134">
        <v>39</v>
      </c>
      <c r="K134">
        <v>0</v>
      </c>
      <c r="L134" t="s">
        <v>5</v>
      </c>
      <c r="M134" t="s">
        <v>37</v>
      </c>
      <c r="N134" t="s">
        <v>37</v>
      </c>
      <c r="O134" t="s">
        <v>2189</v>
      </c>
      <c r="P134" t="s">
        <v>37</v>
      </c>
    </row>
    <row r="135" spans="1:16" x14ac:dyDescent="0.25">
      <c r="A135" s="4" t="s">
        <v>266</v>
      </c>
      <c r="B135" s="4" t="s">
        <v>1905</v>
      </c>
      <c r="C135" s="4" t="str">
        <f t="shared" si="2"/>
        <v>KIWZP21_S2</v>
      </c>
      <c r="D135" s="4" t="s">
        <v>2187</v>
      </c>
      <c r="E135" s="4">
        <v>2</v>
      </c>
      <c r="F135" t="s">
        <v>2188</v>
      </c>
      <c r="G135" s="4" t="s">
        <v>2190</v>
      </c>
      <c r="H135" t="s">
        <v>1912</v>
      </c>
      <c r="I135" s="4" t="s">
        <v>36</v>
      </c>
      <c r="J135">
        <v>39</v>
      </c>
      <c r="K135">
        <v>20</v>
      </c>
      <c r="L135" t="s">
        <v>5</v>
      </c>
      <c r="M135" t="s">
        <v>37</v>
      </c>
      <c r="N135" t="s">
        <v>2191</v>
      </c>
      <c r="O135" t="s">
        <v>2189</v>
      </c>
      <c r="P135" t="s">
        <v>37</v>
      </c>
    </row>
    <row r="136" spans="1:16" x14ac:dyDescent="0.25">
      <c r="A136" s="4" t="s">
        <v>266</v>
      </c>
      <c r="B136" s="4" t="s">
        <v>1905</v>
      </c>
      <c r="C136" s="4" t="str">
        <f t="shared" si="2"/>
        <v>KIWZP21_S3</v>
      </c>
      <c r="D136" s="4" t="s">
        <v>2187</v>
      </c>
      <c r="E136" s="4">
        <v>3</v>
      </c>
      <c r="F136" t="s">
        <v>2188</v>
      </c>
      <c r="G136" s="4" t="s">
        <v>2192</v>
      </c>
      <c r="H136" t="s">
        <v>1912</v>
      </c>
      <c r="I136" s="4" t="s">
        <v>36</v>
      </c>
      <c r="J136">
        <v>39</v>
      </c>
      <c r="K136">
        <v>20</v>
      </c>
      <c r="L136" t="s">
        <v>5</v>
      </c>
      <c r="M136" t="s">
        <v>37</v>
      </c>
      <c r="N136" t="s">
        <v>2193</v>
      </c>
      <c r="O136" t="s">
        <v>37</v>
      </c>
      <c r="P136" t="s">
        <v>37</v>
      </c>
    </row>
    <row r="137" spans="1:16" x14ac:dyDescent="0.25">
      <c r="A137" s="4" t="s">
        <v>266</v>
      </c>
      <c r="B137" s="4" t="s">
        <v>1905</v>
      </c>
      <c r="C137" s="4" t="str">
        <f t="shared" si="2"/>
        <v>KIWZP21_S4</v>
      </c>
      <c r="D137" s="4" t="s">
        <v>2187</v>
      </c>
      <c r="E137" s="4">
        <v>4</v>
      </c>
      <c r="F137" t="s">
        <v>2188</v>
      </c>
      <c r="G137" s="4" t="s">
        <v>2194</v>
      </c>
      <c r="H137" t="s">
        <v>1912</v>
      </c>
      <c r="I137" s="4" t="s">
        <v>36</v>
      </c>
      <c r="J137">
        <v>39</v>
      </c>
      <c r="K137">
        <v>150</v>
      </c>
      <c r="L137" t="s">
        <v>5</v>
      </c>
      <c r="M137" t="s">
        <v>37</v>
      </c>
      <c r="N137" t="s">
        <v>2195</v>
      </c>
      <c r="O137" t="s">
        <v>37</v>
      </c>
      <c r="P137" t="s">
        <v>37</v>
      </c>
    </row>
    <row r="138" spans="1:16" x14ac:dyDescent="0.25">
      <c r="A138" s="4" t="s">
        <v>266</v>
      </c>
      <c r="B138" s="4" t="s">
        <v>1905</v>
      </c>
      <c r="C138" s="4" t="str">
        <f t="shared" si="2"/>
        <v>KIWZP22_S1</v>
      </c>
      <c r="D138" s="4" t="s">
        <v>2196</v>
      </c>
      <c r="E138" s="4">
        <v>1</v>
      </c>
      <c r="F138" t="s">
        <v>2197</v>
      </c>
      <c r="G138" s="4" t="s">
        <v>54</v>
      </c>
      <c r="H138" t="s">
        <v>1912</v>
      </c>
      <c r="I138" s="4" t="s">
        <v>36</v>
      </c>
      <c r="J138">
        <v>40</v>
      </c>
      <c r="K138">
        <v>0</v>
      </c>
      <c r="L138" t="s">
        <v>5</v>
      </c>
      <c r="M138" t="s">
        <v>37</v>
      </c>
      <c r="N138" t="s">
        <v>37</v>
      </c>
      <c r="O138" t="s">
        <v>2198</v>
      </c>
      <c r="P138" t="s">
        <v>37</v>
      </c>
    </row>
    <row r="139" spans="1:16" x14ac:dyDescent="0.25">
      <c r="A139" s="4" t="s">
        <v>266</v>
      </c>
      <c r="B139" s="4" t="s">
        <v>1905</v>
      </c>
      <c r="C139" s="4" t="str">
        <f t="shared" si="2"/>
        <v>KIWZP22_S2</v>
      </c>
      <c r="D139" s="4" t="s">
        <v>2196</v>
      </c>
      <c r="E139" s="4">
        <v>2</v>
      </c>
      <c r="F139" t="s">
        <v>2197</v>
      </c>
      <c r="G139" s="4" t="s">
        <v>49</v>
      </c>
      <c r="H139" t="s">
        <v>1912</v>
      </c>
      <c r="I139" s="4" t="s">
        <v>36</v>
      </c>
      <c r="J139">
        <v>40</v>
      </c>
      <c r="K139">
        <v>200</v>
      </c>
      <c r="L139" t="s">
        <v>5</v>
      </c>
      <c r="M139" t="s">
        <v>37</v>
      </c>
      <c r="N139" t="s">
        <v>2199</v>
      </c>
      <c r="O139" t="s">
        <v>2198</v>
      </c>
      <c r="P139" t="s">
        <v>37</v>
      </c>
    </row>
    <row r="140" spans="1:16" x14ac:dyDescent="0.25">
      <c r="A140" s="4" t="s">
        <v>266</v>
      </c>
      <c r="B140" s="4" t="s">
        <v>1905</v>
      </c>
      <c r="C140" s="4" t="str">
        <f t="shared" si="2"/>
        <v>KIWZP23_S1</v>
      </c>
      <c r="D140" s="4" t="s">
        <v>2200</v>
      </c>
      <c r="E140" s="4">
        <v>1</v>
      </c>
      <c r="F140" t="s">
        <v>2201</v>
      </c>
      <c r="G140" s="4" t="s">
        <v>54</v>
      </c>
      <c r="H140" t="s">
        <v>1912</v>
      </c>
      <c r="I140" s="4" t="s">
        <v>36</v>
      </c>
      <c r="J140">
        <v>40</v>
      </c>
      <c r="K140">
        <v>0</v>
      </c>
      <c r="L140" t="s">
        <v>5</v>
      </c>
      <c r="M140" t="s">
        <v>37</v>
      </c>
      <c r="N140" t="s">
        <v>37</v>
      </c>
      <c r="O140" t="s">
        <v>2202</v>
      </c>
      <c r="P140" t="s">
        <v>37</v>
      </c>
    </row>
    <row r="141" spans="1:16" x14ac:dyDescent="0.25">
      <c r="A141" s="4" t="s">
        <v>266</v>
      </c>
      <c r="B141" s="4" t="s">
        <v>1905</v>
      </c>
      <c r="C141" s="4" t="str">
        <f t="shared" si="2"/>
        <v>KIWZP23_S2</v>
      </c>
      <c r="D141" s="4" t="s">
        <v>2200</v>
      </c>
      <c r="E141" s="4">
        <v>2</v>
      </c>
      <c r="F141" t="s">
        <v>2201</v>
      </c>
      <c r="G141" s="4" t="s">
        <v>49</v>
      </c>
      <c r="H141" t="s">
        <v>1912</v>
      </c>
      <c r="I141" s="4" t="s">
        <v>36</v>
      </c>
      <c r="J141">
        <v>40</v>
      </c>
      <c r="K141">
        <v>150</v>
      </c>
      <c r="L141" t="s">
        <v>5</v>
      </c>
      <c r="M141" t="s">
        <v>37</v>
      </c>
      <c r="N141" t="s">
        <v>2203</v>
      </c>
      <c r="O141" t="s">
        <v>2202</v>
      </c>
      <c r="P141" t="s">
        <v>37</v>
      </c>
    </row>
    <row r="142" spans="1:16" x14ac:dyDescent="0.25">
      <c r="A142" s="4" t="s">
        <v>266</v>
      </c>
      <c r="B142" s="4" t="s">
        <v>1905</v>
      </c>
      <c r="C142" s="4" t="str">
        <f t="shared" si="2"/>
        <v>KIWZP24_S1</v>
      </c>
      <c r="D142" s="4" t="s">
        <v>2204</v>
      </c>
      <c r="E142" s="4">
        <v>1</v>
      </c>
      <c r="F142" t="s">
        <v>2205</v>
      </c>
      <c r="G142" s="4" t="s">
        <v>54</v>
      </c>
      <c r="H142" t="s">
        <v>1912</v>
      </c>
      <c r="I142" s="4" t="s">
        <v>36</v>
      </c>
      <c r="J142">
        <v>40</v>
      </c>
      <c r="K142">
        <v>0</v>
      </c>
      <c r="L142" t="s">
        <v>5</v>
      </c>
      <c r="M142" t="s">
        <v>37</v>
      </c>
      <c r="N142" t="s">
        <v>37</v>
      </c>
      <c r="O142" t="s">
        <v>2206</v>
      </c>
      <c r="P142" t="s">
        <v>37</v>
      </c>
    </row>
    <row r="143" spans="1:16" x14ac:dyDescent="0.25">
      <c r="A143" s="4" t="s">
        <v>266</v>
      </c>
      <c r="B143" s="4" t="s">
        <v>1905</v>
      </c>
      <c r="C143" s="4" t="str">
        <f t="shared" si="2"/>
        <v>KIWZP24_S2</v>
      </c>
      <c r="D143" s="4" t="s">
        <v>2204</v>
      </c>
      <c r="E143" s="4">
        <v>2</v>
      </c>
      <c r="F143" t="s">
        <v>2205</v>
      </c>
      <c r="G143" s="4" t="s">
        <v>49</v>
      </c>
      <c r="H143" t="s">
        <v>1912</v>
      </c>
      <c r="I143" s="4" t="s">
        <v>36</v>
      </c>
      <c r="J143">
        <v>40</v>
      </c>
      <c r="K143">
        <v>150</v>
      </c>
      <c r="L143" t="s">
        <v>5</v>
      </c>
      <c r="M143" t="s">
        <v>37</v>
      </c>
      <c r="N143" t="s">
        <v>2207</v>
      </c>
      <c r="O143" t="s">
        <v>2206</v>
      </c>
      <c r="P143" t="s">
        <v>37</v>
      </c>
    </row>
    <row r="144" spans="1:16" x14ac:dyDescent="0.25">
      <c r="A144" s="4" t="s">
        <v>266</v>
      </c>
      <c r="B144" s="4" t="s">
        <v>1905</v>
      </c>
      <c r="C144" s="4" t="str">
        <f t="shared" si="2"/>
        <v>KIWZP25_S1</v>
      </c>
      <c r="D144" s="4" t="s">
        <v>2208</v>
      </c>
      <c r="E144" s="4">
        <v>1</v>
      </c>
      <c r="F144" t="s">
        <v>2209</v>
      </c>
      <c r="G144" s="4" t="s">
        <v>54</v>
      </c>
      <c r="H144" t="s">
        <v>1912</v>
      </c>
      <c r="I144" s="4" t="s">
        <v>36</v>
      </c>
      <c r="J144">
        <v>40</v>
      </c>
      <c r="K144">
        <v>0</v>
      </c>
      <c r="L144" t="s">
        <v>5</v>
      </c>
      <c r="M144" t="s">
        <v>37</v>
      </c>
      <c r="N144" t="s">
        <v>37</v>
      </c>
      <c r="O144" t="s">
        <v>2210</v>
      </c>
      <c r="P144" t="s">
        <v>37</v>
      </c>
    </row>
    <row r="145" spans="1:16" x14ac:dyDescent="0.25">
      <c r="A145" s="4" t="s">
        <v>266</v>
      </c>
      <c r="B145" s="4" t="s">
        <v>1905</v>
      </c>
      <c r="C145" s="4" t="str">
        <f t="shared" si="2"/>
        <v>KIWZP25_S2</v>
      </c>
      <c r="D145" s="4" t="s">
        <v>2208</v>
      </c>
      <c r="E145" s="4">
        <v>2</v>
      </c>
      <c r="F145" t="s">
        <v>2209</v>
      </c>
      <c r="G145" s="4" t="s">
        <v>49</v>
      </c>
      <c r="H145" t="s">
        <v>1912</v>
      </c>
      <c r="I145" s="4" t="s">
        <v>36</v>
      </c>
      <c r="J145">
        <v>40</v>
      </c>
      <c r="K145">
        <v>200</v>
      </c>
      <c r="L145" t="s">
        <v>5</v>
      </c>
      <c r="M145" t="s">
        <v>37</v>
      </c>
      <c r="N145" t="s">
        <v>2130</v>
      </c>
      <c r="O145" t="s">
        <v>2210</v>
      </c>
      <c r="P145" t="s">
        <v>37</v>
      </c>
    </row>
    <row r="146" spans="1:16" x14ac:dyDescent="0.25">
      <c r="A146" s="4" t="s">
        <v>266</v>
      </c>
      <c r="B146" s="4" t="s">
        <v>1905</v>
      </c>
      <c r="C146" s="4" t="str">
        <f t="shared" si="2"/>
        <v>KIWZP26_S1</v>
      </c>
      <c r="D146" s="4" t="s">
        <v>2211</v>
      </c>
      <c r="E146" s="4">
        <v>1</v>
      </c>
      <c r="F146" t="s">
        <v>2212</v>
      </c>
      <c r="G146" s="4" t="s">
        <v>54</v>
      </c>
      <c r="H146" t="s">
        <v>1912</v>
      </c>
      <c r="I146" s="4" t="s">
        <v>36</v>
      </c>
      <c r="J146">
        <v>40</v>
      </c>
      <c r="K146">
        <v>0</v>
      </c>
      <c r="L146" t="s">
        <v>5</v>
      </c>
      <c r="M146" t="s">
        <v>37</v>
      </c>
      <c r="N146" t="s">
        <v>37</v>
      </c>
      <c r="O146" t="s">
        <v>2213</v>
      </c>
      <c r="P146" t="s">
        <v>37</v>
      </c>
    </row>
    <row r="147" spans="1:16" x14ac:dyDescent="0.25">
      <c r="A147" s="4" t="s">
        <v>266</v>
      </c>
      <c r="B147" s="4" t="s">
        <v>1905</v>
      </c>
      <c r="C147" s="4" t="str">
        <f t="shared" si="2"/>
        <v>KIWZP26_S2</v>
      </c>
      <c r="D147" s="4" t="s">
        <v>2211</v>
      </c>
      <c r="E147" s="4">
        <v>2</v>
      </c>
      <c r="F147" t="s">
        <v>2212</v>
      </c>
      <c r="G147" s="4" t="s">
        <v>2214</v>
      </c>
      <c r="H147" t="s">
        <v>1912</v>
      </c>
      <c r="I147" s="4" t="s">
        <v>36</v>
      </c>
      <c r="J147">
        <v>40</v>
      </c>
      <c r="K147">
        <v>50</v>
      </c>
      <c r="L147" t="s">
        <v>5</v>
      </c>
      <c r="M147" t="s">
        <v>37</v>
      </c>
      <c r="N147" t="s">
        <v>2215</v>
      </c>
      <c r="O147" t="s">
        <v>2213</v>
      </c>
      <c r="P147" t="s">
        <v>37</v>
      </c>
    </row>
    <row r="148" spans="1:16" x14ac:dyDescent="0.25">
      <c r="A148" s="4" t="s">
        <v>266</v>
      </c>
      <c r="B148" s="4" t="s">
        <v>1905</v>
      </c>
      <c r="C148" s="4" t="str">
        <f t="shared" si="2"/>
        <v>KIWZP26_S3</v>
      </c>
      <c r="D148" s="4" t="s">
        <v>2211</v>
      </c>
      <c r="E148" s="4">
        <v>3</v>
      </c>
      <c r="F148" t="s">
        <v>2212</v>
      </c>
      <c r="G148" s="4" t="s">
        <v>2216</v>
      </c>
      <c r="H148" t="s">
        <v>1912</v>
      </c>
      <c r="I148" s="4" t="s">
        <v>36</v>
      </c>
      <c r="J148">
        <v>40</v>
      </c>
      <c r="K148">
        <v>50</v>
      </c>
      <c r="L148" t="s">
        <v>5</v>
      </c>
      <c r="M148" t="s">
        <v>37</v>
      </c>
      <c r="N148" t="s">
        <v>2217</v>
      </c>
      <c r="O148" t="s">
        <v>37</v>
      </c>
      <c r="P148" t="s">
        <v>37</v>
      </c>
    </row>
    <row r="149" spans="1:16" x14ac:dyDescent="0.25">
      <c r="A149" s="4" t="s">
        <v>266</v>
      </c>
      <c r="B149" s="4" t="s">
        <v>1905</v>
      </c>
      <c r="C149" s="4" t="str">
        <f t="shared" si="2"/>
        <v>KIWZP26_S4</v>
      </c>
      <c r="D149" s="4" t="s">
        <v>2211</v>
      </c>
      <c r="E149" s="4">
        <v>4</v>
      </c>
      <c r="F149" t="s">
        <v>2212</v>
      </c>
      <c r="G149" s="4" t="s">
        <v>2218</v>
      </c>
      <c r="H149" t="s">
        <v>1912</v>
      </c>
      <c r="I149" s="4" t="s">
        <v>36</v>
      </c>
      <c r="J149">
        <v>40</v>
      </c>
      <c r="K149">
        <v>150</v>
      </c>
      <c r="L149" t="s">
        <v>5</v>
      </c>
      <c r="M149" t="s">
        <v>37</v>
      </c>
      <c r="N149" t="s">
        <v>2219</v>
      </c>
      <c r="O149" t="s">
        <v>37</v>
      </c>
      <c r="P149" t="s">
        <v>37</v>
      </c>
    </row>
    <row r="150" spans="1:16" x14ac:dyDescent="0.25">
      <c r="A150" s="4" t="s">
        <v>266</v>
      </c>
      <c r="B150" s="4" t="s">
        <v>1905</v>
      </c>
      <c r="C150" s="4" t="str">
        <f t="shared" si="2"/>
        <v>KIWZP27_S1</v>
      </c>
      <c r="D150" s="4" t="s">
        <v>2220</v>
      </c>
      <c r="E150" s="4">
        <v>1</v>
      </c>
      <c r="F150" t="s">
        <v>2221</v>
      </c>
      <c r="G150" s="4" t="s">
        <v>54</v>
      </c>
      <c r="H150" t="s">
        <v>1912</v>
      </c>
      <c r="I150" s="4" t="s">
        <v>36</v>
      </c>
      <c r="J150">
        <v>40</v>
      </c>
      <c r="K150">
        <v>0</v>
      </c>
      <c r="L150" t="s">
        <v>5</v>
      </c>
      <c r="M150" t="s">
        <v>37</v>
      </c>
      <c r="N150" t="s">
        <v>37</v>
      </c>
      <c r="O150" t="s">
        <v>2222</v>
      </c>
      <c r="P150" t="s">
        <v>37</v>
      </c>
    </row>
    <row r="151" spans="1:16" x14ac:dyDescent="0.25">
      <c r="A151" s="4" t="s">
        <v>266</v>
      </c>
      <c r="B151" s="4" t="s">
        <v>1905</v>
      </c>
      <c r="C151" s="4" t="str">
        <f t="shared" si="2"/>
        <v>KIWZP27_S2</v>
      </c>
      <c r="D151" s="4" t="s">
        <v>2220</v>
      </c>
      <c r="E151" s="4">
        <v>2</v>
      </c>
      <c r="F151" t="s">
        <v>2221</v>
      </c>
      <c r="G151" s="4" t="s">
        <v>49</v>
      </c>
      <c r="H151" t="s">
        <v>1912</v>
      </c>
      <c r="I151" s="4" t="s">
        <v>36</v>
      </c>
      <c r="J151">
        <v>40</v>
      </c>
      <c r="K151">
        <v>250</v>
      </c>
      <c r="L151" t="s">
        <v>5</v>
      </c>
      <c r="M151" t="s">
        <v>37</v>
      </c>
      <c r="N151" t="s">
        <v>2223</v>
      </c>
      <c r="O151" t="s">
        <v>2222</v>
      </c>
      <c r="P151" t="s">
        <v>37</v>
      </c>
    </row>
    <row r="152" spans="1:16" x14ac:dyDescent="0.25">
      <c r="A152" s="4" t="s">
        <v>266</v>
      </c>
      <c r="B152" s="4" t="s">
        <v>1905</v>
      </c>
      <c r="C152" s="4" t="str">
        <f t="shared" si="2"/>
        <v>KIWZP28_S1</v>
      </c>
      <c r="D152" s="4" t="s">
        <v>2224</v>
      </c>
      <c r="E152" s="4">
        <v>1</v>
      </c>
      <c r="F152" t="s">
        <v>2225</v>
      </c>
      <c r="G152" s="4" t="s">
        <v>54</v>
      </c>
      <c r="H152" t="s">
        <v>1912</v>
      </c>
      <c r="I152" s="4" t="s">
        <v>36</v>
      </c>
      <c r="J152">
        <v>40</v>
      </c>
      <c r="K152">
        <v>0</v>
      </c>
      <c r="L152" t="s">
        <v>5</v>
      </c>
      <c r="M152" t="s">
        <v>37</v>
      </c>
      <c r="N152" t="s">
        <v>37</v>
      </c>
      <c r="O152" t="s">
        <v>2226</v>
      </c>
      <c r="P152" t="s">
        <v>37</v>
      </c>
    </row>
    <row r="153" spans="1:16" x14ac:dyDescent="0.25">
      <c r="A153" s="4" t="s">
        <v>266</v>
      </c>
      <c r="B153" s="4" t="s">
        <v>1905</v>
      </c>
      <c r="C153" s="4" t="str">
        <f t="shared" si="2"/>
        <v>KIWZP28_S2</v>
      </c>
      <c r="D153" s="4" t="s">
        <v>2224</v>
      </c>
      <c r="E153" s="4">
        <v>2</v>
      </c>
      <c r="F153" t="s">
        <v>2225</v>
      </c>
      <c r="G153" s="4" t="s">
        <v>49</v>
      </c>
      <c r="H153" t="s">
        <v>1912</v>
      </c>
      <c r="I153" s="4" t="s">
        <v>36</v>
      </c>
      <c r="J153">
        <v>40</v>
      </c>
      <c r="K153">
        <v>150</v>
      </c>
      <c r="L153" t="s">
        <v>5</v>
      </c>
      <c r="M153" t="s">
        <v>37</v>
      </c>
      <c r="N153" t="s">
        <v>2227</v>
      </c>
      <c r="O153" t="s">
        <v>2226</v>
      </c>
      <c r="P153" t="s">
        <v>37</v>
      </c>
    </row>
    <row r="154" spans="1:16" x14ac:dyDescent="0.25">
      <c r="A154" s="4" t="s">
        <v>266</v>
      </c>
      <c r="B154" s="4" t="s">
        <v>1905</v>
      </c>
      <c r="C154" s="4" t="str">
        <f t="shared" si="2"/>
        <v>KIWZP29_S1</v>
      </c>
      <c r="D154" s="4" t="s">
        <v>2228</v>
      </c>
      <c r="E154" s="4">
        <v>1</v>
      </c>
      <c r="F154" t="s">
        <v>2229</v>
      </c>
      <c r="G154" s="4" t="s">
        <v>54</v>
      </c>
      <c r="H154" t="s">
        <v>1912</v>
      </c>
      <c r="I154" s="4" t="s">
        <v>36</v>
      </c>
      <c r="J154">
        <v>42</v>
      </c>
      <c r="K154">
        <v>0</v>
      </c>
      <c r="L154" t="s">
        <v>5</v>
      </c>
      <c r="M154" t="s">
        <v>37</v>
      </c>
      <c r="N154" t="s">
        <v>37</v>
      </c>
      <c r="O154" t="s">
        <v>2230</v>
      </c>
      <c r="P154" t="s">
        <v>37</v>
      </c>
    </row>
    <row r="155" spans="1:16" x14ac:dyDescent="0.25">
      <c r="A155" s="4" t="s">
        <v>266</v>
      </c>
      <c r="B155" s="4" t="s">
        <v>1905</v>
      </c>
      <c r="C155" s="4" t="str">
        <f t="shared" si="2"/>
        <v>KIWZP29_S2</v>
      </c>
      <c r="D155" s="4" t="s">
        <v>2228</v>
      </c>
      <c r="E155" s="4">
        <v>2</v>
      </c>
      <c r="F155" t="s">
        <v>2229</v>
      </c>
      <c r="G155" s="4" t="s">
        <v>2231</v>
      </c>
      <c r="H155" t="s">
        <v>1912</v>
      </c>
      <c r="I155" s="4" t="s">
        <v>36</v>
      </c>
      <c r="J155">
        <v>42</v>
      </c>
      <c r="K155">
        <v>100</v>
      </c>
      <c r="L155" t="s">
        <v>5</v>
      </c>
      <c r="M155" t="s">
        <v>37</v>
      </c>
      <c r="N155" t="s">
        <v>2232</v>
      </c>
      <c r="O155" t="s">
        <v>2230</v>
      </c>
      <c r="P155" t="s">
        <v>37</v>
      </c>
    </row>
    <row r="156" spans="1:16" x14ac:dyDescent="0.25">
      <c r="A156" s="4" t="s">
        <v>266</v>
      </c>
      <c r="B156" s="4" t="s">
        <v>1905</v>
      </c>
      <c r="C156" s="4" t="str">
        <f t="shared" si="2"/>
        <v>KIWZP29_S3</v>
      </c>
      <c r="D156" s="4" t="s">
        <v>2228</v>
      </c>
      <c r="E156" s="4">
        <v>3</v>
      </c>
      <c r="F156" t="s">
        <v>2229</v>
      </c>
      <c r="G156" s="4" t="s">
        <v>2233</v>
      </c>
      <c r="H156" t="s">
        <v>1912</v>
      </c>
      <c r="I156" s="4" t="s">
        <v>36</v>
      </c>
      <c r="J156">
        <v>42</v>
      </c>
      <c r="K156">
        <v>250</v>
      </c>
      <c r="L156" t="s">
        <v>5</v>
      </c>
      <c r="M156" t="s">
        <v>37</v>
      </c>
      <c r="N156" t="s">
        <v>2234</v>
      </c>
      <c r="O156" t="s">
        <v>37</v>
      </c>
      <c r="P156" t="s">
        <v>37</v>
      </c>
    </row>
    <row r="157" spans="1:16" x14ac:dyDescent="0.25">
      <c r="A157" s="4" t="s">
        <v>266</v>
      </c>
      <c r="B157" s="4" t="s">
        <v>1905</v>
      </c>
      <c r="C157" s="4" t="str">
        <f t="shared" si="2"/>
        <v>KIWZP30_S1</v>
      </c>
      <c r="D157" s="4" t="s">
        <v>2235</v>
      </c>
      <c r="E157" s="4">
        <v>1</v>
      </c>
      <c r="F157" t="s">
        <v>2236</v>
      </c>
      <c r="G157" s="4" t="s">
        <v>54</v>
      </c>
      <c r="H157" t="s">
        <v>1912</v>
      </c>
      <c r="I157" s="4" t="s">
        <v>36</v>
      </c>
      <c r="J157">
        <v>42</v>
      </c>
      <c r="K157">
        <v>0</v>
      </c>
      <c r="L157" t="s">
        <v>5</v>
      </c>
      <c r="M157" t="s">
        <v>37</v>
      </c>
      <c r="N157" t="s">
        <v>37</v>
      </c>
      <c r="O157" t="s">
        <v>2237</v>
      </c>
      <c r="P157" t="s">
        <v>37</v>
      </c>
    </row>
    <row r="158" spans="1:16" x14ac:dyDescent="0.25">
      <c r="A158" s="4" t="s">
        <v>266</v>
      </c>
      <c r="B158" s="4" t="s">
        <v>1905</v>
      </c>
      <c r="C158" s="4" t="str">
        <f t="shared" si="2"/>
        <v>KIWZP30_S2</v>
      </c>
      <c r="D158" s="4" t="s">
        <v>2235</v>
      </c>
      <c r="E158" s="4">
        <v>2</v>
      </c>
      <c r="F158" t="s">
        <v>2236</v>
      </c>
      <c r="G158" s="4" t="s">
        <v>49</v>
      </c>
      <c r="H158" t="s">
        <v>1912</v>
      </c>
      <c r="I158" s="4" t="s">
        <v>36</v>
      </c>
      <c r="J158">
        <v>42</v>
      </c>
      <c r="K158">
        <v>0</v>
      </c>
      <c r="L158" t="s">
        <v>5</v>
      </c>
      <c r="M158" t="s">
        <v>37</v>
      </c>
      <c r="N158" t="s">
        <v>2238</v>
      </c>
      <c r="O158" t="s">
        <v>2237</v>
      </c>
      <c r="P158" t="s">
        <v>37</v>
      </c>
    </row>
    <row r="159" spans="1:16" x14ac:dyDescent="0.25">
      <c r="A159" s="4" t="s">
        <v>266</v>
      </c>
      <c r="B159" s="4" t="s">
        <v>1905</v>
      </c>
      <c r="C159" s="4" t="str">
        <f t="shared" si="2"/>
        <v>KIWZP31_S1</v>
      </c>
      <c r="D159" s="4" t="s">
        <v>2239</v>
      </c>
      <c r="E159" s="4">
        <v>1</v>
      </c>
      <c r="F159" t="s">
        <v>2240</v>
      </c>
      <c r="G159" s="4" t="s">
        <v>54</v>
      </c>
      <c r="H159" t="s">
        <v>1912</v>
      </c>
      <c r="I159" s="4" t="s">
        <v>36</v>
      </c>
      <c r="J159">
        <v>42</v>
      </c>
      <c r="K159">
        <v>0</v>
      </c>
      <c r="L159" t="s">
        <v>5</v>
      </c>
      <c r="M159" t="s">
        <v>37</v>
      </c>
      <c r="N159" t="s">
        <v>37</v>
      </c>
      <c r="O159" t="s">
        <v>2241</v>
      </c>
      <c r="P159" t="s">
        <v>37</v>
      </c>
    </row>
    <row r="160" spans="1:16" x14ac:dyDescent="0.25">
      <c r="A160" s="4" t="s">
        <v>266</v>
      </c>
      <c r="B160" s="4" t="s">
        <v>1905</v>
      </c>
      <c r="C160" s="4" t="str">
        <f t="shared" si="2"/>
        <v>KIWZP31_S2</v>
      </c>
      <c r="D160" s="4" t="s">
        <v>2239</v>
      </c>
      <c r="E160" s="4">
        <v>2</v>
      </c>
      <c r="F160" t="s">
        <v>2240</v>
      </c>
      <c r="G160" s="4" t="s">
        <v>49</v>
      </c>
      <c r="H160" t="s">
        <v>1912</v>
      </c>
      <c r="I160" s="4" t="s">
        <v>36</v>
      </c>
      <c r="J160">
        <v>42</v>
      </c>
      <c r="K160">
        <v>400</v>
      </c>
      <c r="L160" t="s">
        <v>5</v>
      </c>
      <c r="M160" t="s">
        <v>37</v>
      </c>
      <c r="N160" t="s">
        <v>2242</v>
      </c>
      <c r="O160" t="s">
        <v>2241</v>
      </c>
      <c r="P160" t="s">
        <v>37</v>
      </c>
    </row>
    <row r="161" spans="1:16" x14ac:dyDescent="0.25">
      <c r="A161" s="4" t="s">
        <v>266</v>
      </c>
      <c r="B161" s="4" t="s">
        <v>1905</v>
      </c>
      <c r="C161" s="4" t="str">
        <f t="shared" si="2"/>
        <v>KIWZP32_S1</v>
      </c>
      <c r="D161" s="4" t="s">
        <v>2243</v>
      </c>
      <c r="E161" s="4">
        <v>1</v>
      </c>
      <c r="F161" t="s">
        <v>2244</v>
      </c>
      <c r="G161" s="4" t="s">
        <v>54</v>
      </c>
      <c r="H161" t="s">
        <v>1912</v>
      </c>
      <c r="I161" s="4" t="s">
        <v>36</v>
      </c>
      <c r="J161">
        <v>43</v>
      </c>
      <c r="K161">
        <v>0</v>
      </c>
      <c r="L161" t="s">
        <v>5</v>
      </c>
      <c r="M161" t="s">
        <v>37</v>
      </c>
      <c r="N161" t="s">
        <v>37</v>
      </c>
      <c r="O161" t="s">
        <v>2245</v>
      </c>
      <c r="P161" t="s">
        <v>37</v>
      </c>
    </row>
    <row r="162" spans="1:16" x14ac:dyDescent="0.25">
      <c r="A162" s="4" t="s">
        <v>266</v>
      </c>
      <c r="B162" s="4" t="s">
        <v>1905</v>
      </c>
      <c r="C162" s="4" t="str">
        <f t="shared" si="2"/>
        <v>KIWZP32_S2</v>
      </c>
      <c r="D162" s="4" t="s">
        <v>2243</v>
      </c>
      <c r="E162" s="4">
        <v>2</v>
      </c>
      <c r="F162" t="s">
        <v>2244</v>
      </c>
      <c r="G162" s="4" t="s">
        <v>2246</v>
      </c>
      <c r="H162" t="s">
        <v>1912</v>
      </c>
      <c r="I162" s="4" t="s">
        <v>36</v>
      </c>
      <c r="J162">
        <v>43</v>
      </c>
      <c r="K162">
        <v>100</v>
      </c>
      <c r="L162" t="s">
        <v>5</v>
      </c>
      <c r="M162" t="s">
        <v>37</v>
      </c>
      <c r="N162" t="s">
        <v>2247</v>
      </c>
      <c r="O162" t="s">
        <v>2245</v>
      </c>
      <c r="P162" t="s">
        <v>37</v>
      </c>
    </row>
    <row r="163" spans="1:16" x14ac:dyDescent="0.25">
      <c r="A163" s="4" t="s">
        <v>266</v>
      </c>
      <c r="B163" s="4" t="s">
        <v>1905</v>
      </c>
      <c r="C163" s="4" t="str">
        <f t="shared" si="2"/>
        <v>KIWZP32_S3</v>
      </c>
      <c r="D163" s="4" t="s">
        <v>2243</v>
      </c>
      <c r="E163" s="4">
        <v>3</v>
      </c>
      <c r="F163" t="s">
        <v>2244</v>
      </c>
      <c r="G163" s="4" t="s">
        <v>2248</v>
      </c>
      <c r="H163" t="s">
        <v>1912</v>
      </c>
      <c r="I163" s="4" t="s">
        <v>36</v>
      </c>
      <c r="J163">
        <v>43</v>
      </c>
      <c r="K163">
        <v>250</v>
      </c>
      <c r="L163" t="s">
        <v>5</v>
      </c>
      <c r="M163" t="s">
        <v>37</v>
      </c>
      <c r="N163" t="s">
        <v>2249</v>
      </c>
      <c r="O163" t="s">
        <v>37</v>
      </c>
      <c r="P163" t="s">
        <v>37</v>
      </c>
    </row>
    <row r="164" spans="1:16" x14ac:dyDescent="0.25">
      <c r="A164" s="4" t="s">
        <v>266</v>
      </c>
      <c r="B164" s="4" t="s">
        <v>1905</v>
      </c>
      <c r="C164" s="4" t="str">
        <f t="shared" si="2"/>
        <v>KIWZP32_S4</v>
      </c>
      <c r="D164" s="4" t="s">
        <v>2243</v>
      </c>
      <c r="E164" s="4">
        <v>4</v>
      </c>
      <c r="F164" t="s">
        <v>2244</v>
      </c>
      <c r="G164" s="4" t="s">
        <v>2250</v>
      </c>
      <c r="H164" t="s">
        <v>1912</v>
      </c>
      <c r="I164" s="4" t="s">
        <v>36</v>
      </c>
      <c r="J164">
        <v>43</v>
      </c>
      <c r="K164">
        <v>150</v>
      </c>
      <c r="L164" t="s">
        <v>5</v>
      </c>
      <c r="M164" t="s">
        <v>37</v>
      </c>
      <c r="N164" t="s">
        <v>2251</v>
      </c>
      <c r="O164" t="s">
        <v>37</v>
      </c>
      <c r="P164" t="s">
        <v>37</v>
      </c>
    </row>
    <row r="165" spans="1:16" x14ac:dyDescent="0.25">
      <c r="A165" s="4" t="s">
        <v>266</v>
      </c>
      <c r="B165" s="4" t="s">
        <v>1905</v>
      </c>
      <c r="C165" s="4" t="str">
        <f t="shared" si="2"/>
        <v>KIWZP32_S5</v>
      </c>
      <c r="D165" s="4" t="s">
        <v>2243</v>
      </c>
      <c r="E165" s="4">
        <v>5</v>
      </c>
      <c r="F165" t="s">
        <v>2244</v>
      </c>
      <c r="G165" s="4" t="s">
        <v>2252</v>
      </c>
      <c r="H165" t="s">
        <v>1912</v>
      </c>
      <c r="I165" s="4" t="s">
        <v>36</v>
      </c>
      <c r="J165">
        <v>43</v>
      </c>
      <c r="K165">
        <v>100</v>
      </c>
      <c r="L165" t="s">
        <v>5</v>
      </c>
      <c r="M165" t="s">
        <v>37</v>
      </c>
      <c r="N165" t="s">
        <v>2253</v>
      </c>
      <c r="O165" t="s">
        <v>37</v>
      </c>
      <c r="P165" t="s">
        <v>37</v>
      </c>
    </row>
    <row r="166" spans="1:16" x14ac:dyDescent="0.25">
      <c r="A166" s="4" t="s">
        <v>266</v>
      </c>
      <c r="B166" s="4" t="s">
        <v>1905</v>
      </c>
      <c r="C166" s="4" t="str">
        <f t="shared" si="2"/>
        <v>KIWZP33_S1</v>
      </c>
      <c r="D166" s="4" t="s">
        <v>2254</v>
      </c>
      <c r="E166" s="4">
        <v>1</v>
      </c>
      <c r="F166" t="s">
        <v>2255</v>
      </c>
      <c r="G166" s="4" t="s">
        <v>54</v>
      </c>
      <c r="H166" t="s">
        <v>1912</v>
      </c>
      <c r="I166" s="4" t="s">
        <v>36</v>
      </c>
      <c r="J166">
        <v>43</v>
      </c>
      <c r="K166">
        <v>0</v>
      </c>
      <c r="L166" t="s">
        <v>5</v>
      </c>
      <c r="M166" t="s">
        <v>37</v>
      </c>
      <c r="N166" t="s">
        <v>37</v>
      </c>
      <c r="O166" t="s">
        <v>2256</v>
      </c>
      <c r="P166" t="s">
        <v>37</v>
      </c>
    </row>
    <row r="167" spans="1:16" x14ac:dyDescent="0.25">
      <c r="A167" s="4" t="s">
        <v>266</v>
      </c>
      <c r="B167" s="4" t="s">
        <v>1905</v>
      </c>
      <c r="C167" s="4" t="str">
        <f t="shared" si="2"/>
        <v>KIWZP33_S2</v>
      </c>
      <c r="D167" s="4" t="s">
        <v>2254</v>
      </c>
      <c r="E167" s="4">
        <v>2</v>
      </c>
      <c r="F167" t="s">
        <v>2255</v>
      </c>
      <c r="G167" s="4" t="s">
        <v>2257</v>
      </c>
      <c r="H167" t="s">
        <v>1912</v>
      </c>
      <c r="I167" s="4" t="s">
        <v>36</v>
      </c>
      <c r="J167">
        <v>43</v>
      </c>
      <c r="K167">
        <v>50</v>
      </c>
      <c r="L167" t="s">
        <v>5</v>
      </c>
      <c r="M167" t="s">
        <v>37</v>
      </c>
      <c r="N167" t="s">
        <v>2258</v>
      </c>
      <c r="O167" t="s">
        <v>2256</v>
      </c>
      <c r="P167" t="s">
        <v>37</v>
      </c>
    </row>
    <row r="168" spans="1:16" x14ac:dyDescent="0.25">
      <c r="A168" s="4" t="s">
        <v>266</v>
      </c>
      <c r="B168" s="4" t="s">
        <v>1905</v>
      </c>
      <c r="C168" s="4" t="str">
        <f t="shared" si="2"/>
        <v>KIWZP33_S3</v>
      </c>
      <c r="D168" s="4" t="s">
        <v>2254</v>
      </c>
      <c r="E168" s="4">
        <v>3</v>
      </c>
      <c r="F168" t="s">
        <v>2255</v>
      </c>
      <c r="G168" s="4" t="s">
        <v>49</v>
      </c>
      <c r="H168" t="s">
        <v>1912</v>
      </c>
      <c r="I168" s="4" t="s">
        <v>36</v>
      </c>
      <c r="J168">
        <v>43</v>
      </c>
      <c r="K168">
        <v>300</v>
      </c>
      <c r="L168" t="s">
        <v>5</v>
      </c>
      <c r="M168" t="s">
        <v>37</v>
      </c>
      <c r="N168" t="s">
        <v>2259</v>
      </c>
      <c r="O168" t="s">
        <v>37</v>
      </c>
      <c r="P168" t="s">
        <v>37</v>
      </c>
    </row>
    <row r="169" spans="1:16" x14ac:dyDescent="0.25">
      <c r="A169" s="4" t="s">
        <v>266</v>
      </c>
      <c r="B169" s="4" t="s">
        <v>1905</v>
      </c>
      <c r="C169" s="4" t="str">
        <f t="shared" si="2"/>
        <v>KIWZP34_S1</v>
      </c>
      <c r="D169" s="4" t="s">
        <v>2260</v>
      </c>
      <c r="E169" s="4">
        <v>1</v>
      </c>
      <c r="F169" t="s">
        <v>2261</v>
      </c>
      <c r="G169" s="4" t="s">
        <v>54</v>
      </c>
      <c r="H169" t="s">
        <v>1912</v>
      </c>
      <c r="I169" s="4" t="s">
        <v>36</v>
      </c>
      <c r="J169">
        <v>43</v>
      </c>
      <c r="K169">
        <v>0</v>
      </c>
      <c r="L169" t="s">
        <v>5</v>
      </c>
      <c r="M169" t="s">
        <v>37</v>
      </c>
      <c r="N169" t="s">
        <v>37</v>
      </c>
      <c r="O169" t="s">
        <v>2262</v>
      </c>
      <c r="P169" t="s">
        <v>37</v>
      </c>
    </row>
    <row r="170" spans="1:16" x14ac:dyDescent="0.25">
      <c r="A170" s="4" t="s">
        <v>266</v>
      </c>
      <c r="B170" s="4" t="s">
        <v>1905</v>
      </c>
      <c r="C170" s="4" t="str">
        <f t="shared" si="2"/>
        <v>KIWZP34_S2</v>
      </c>
      <c r="D170" s="4" t="s">
        <v>2260</v>
      </c>
      <c r="E170" s="4">
        <v>2</v>
      </c>
      <c r="F170" t="s">
        <v>2261</v>
      </c>
      <c r="G170" s="4" t="s">
        <v>49</v>
      </c>
      <c r="H170" t="s">
        <v>1912</v>
      </c>
      <c r="I170" s="4" t="s">
        <v>36</v>
      </c>
      <c r="J170">
        <v>43</v>
      </c>
      <c r="K170">
        <v>0</v>
      </c>
      <c r="L170" t="s">
        <v>5</v>
      </c>
      <c r="M170" t="s">
        <v>37</v>
      </c>
      <c r="N170" t="s">
        <v>2263</v>
      </c>
      <c r="O170" t="s">
        <v>2262</v>
      </c>
      <c r="P170" t="s">
        <v>37</v>
      </c>
    </row>
    <row r="171" spans="1:16" x14ac:dyDescent="0.25">
      <c r="A171" s="4" t="s">
        <v>266</v>
      </c>
      <c r="B171" s="4" t="s">
        <v>1905</v>
      </c>
      <c r="C171" s="4" t="str">
        <f t="shared" si="2"/>
        <v>KIWZP35_S1</v>
      </c>
      <c r="D171" s="4" t="s">
        <v>2264</v>
      </c>
      <c r="E171" s="4">
        <v>1</v>
      </c>
      <c r="F171" t="s">
        <v>2265</v>
      </c>
      <c r="G171" s="4" t="s">
        <v>54</v>
      </c>
      <c r="H171" t="s">
        <v>1912</v>
      </c>
      <c r="I171" s="4" t="s">
        <v>36</v>
      </c>
      <c r="J171">
        <v>44</v>
      </c>
      <c r="K171">
        <v>0</v>
      </c>
      <c r="L171" t="s">
        <v>5</v>
      </c>
      <c r="M171" t="s">
        <v>37</v>
      </c>
      <c r="N171" t="s">
        <v>37</v>
      </c>
      <c r="O171" t="s">
        <v>2266</v>
      </c>
      <c r="P171" t="s">
        <v>37</v>
      </c>
    </row>
    <row r="172" spans="1:16" x14ac:dyDescent="0.25">
      <c r="A172" s="4" t="s">
        <v>266</v>
      </c>
      <c r="B172" s="4" t="s">
        <v>1905</v>
      </c>
      <c r="C172" s="4" t="str">
        <f t="shared" si="2"/>
        <v>KIWZP35_S2</v>
      </c>
      <c r="D172" s="4" t="s">
        <v>2264</v>
      </c>
      <c r="E172" s="4">
        <v>2</v>
      </c>
      <c r="F172" t="s">
        <v>2265</v>
      </c>
      <c r="G172" s="4" t="s">
        <v>49</v>
      </c>
      <c r="H172" t="s">
        <v>1912</v>
      </c>
      <c r="I172" s="4" t="s">
        <v>36</v>
      </c>
      <c r="J172">
        <v>44</v>
      </c>
      <c r="K172">
        <v>150</v>
      </c>
      <c r="L172" t="s">
        <v>5</v>
      </c>
      <c r="M172" t="s">
        <v>37</v>
      </c>
      <c r="N172" t="s">
        <v>2267</v>
      </c>
      <c r="O172" t="s">
        <v>2266</v>
      </c>
      <c r="P172" t="s">
        <v>37</v>
      </c>
    </row>
    <row r="173" spans="1:16" x14ac:dyDescent="0.25">
      <c r="A173" s="4" t="s">
        <v>266</v>
      </c>
      <c r="B173" s="4" t="s">
        <v>1905</v>
      </c>
      <c r="C173" s="4" t="str">
        <f t="shared" si="2"/>
        <v>KIWZP36_S1</v>
      </c>
      <c r="D173" s="4" t="s">
        <v>2268</v>
      </c>
      <c r="E173" s="4">
        <v>1</v>
      </c>
      <c r="F173" t="s">
        <v>2269</v>
      </c>
      <c r="G173" s="4" t="s">
        <v>54</v>
      </c>
      <c r="H173" t="s">
        <v>1912</v>
      </c>
      <c r="I173" s="4" t="s">
        <v>36</v>
      </c>
      <c r="J173">
        <v>45</v>
      </c>
      <c r="K173">
        <v>0</v>
      </c>
      <c r="L173" t="s">
        <v>5</v>
      </c>
      <c r="M173" t="s">
        <v>37</v>
      </c>
      <c r="N173" t="s">
        <v>37</v>
      </c>
      <c r="O173" t="s">
        <v>2270</v>
      </c>
      <c r="P173" t="s">
        <v>37</v>
      </c>
    </row>
    <row r="174" spans="1:16" x14ac:dyDescent="0.25">
      <c r="A174" s="4" t="s">
        <v>266</v>
      </c>
      <c r="B174" s="4" t="s">
        <v>1905</v>
      </c>
      <c r="C174" s="4" t="str">
        <f t="shared" si="2"/>
        <v>KIWZP36_S2</v>
      </c>
      <c r="D174" s="4" t="s">
        <v>2268</v>
      </c>
      <c r="E174" s="4">
        <v>2</v>
      </c>
      <c r="F174" t="s">
        <v>2269</v>
      </c>
      <c r="G174" s="4" t="s">
        <v>2271</v>
      </c>
      <c r="H174" t="s">
        <v>1912</v>
      </c>
      <c r="I174" s="4" t="s">
        <v>36</v>
      </c>
      <c r="J174">
        <v>45</v>
      </c>
      <c r="K174">
        <v>200</v>
      </c>
      <c r="L174" t="s">
        <v>5</v>
      </c>
      <c r="M174" t="s">
        <v>37</v>
      </c>
      <c r="N174" t="s">
        <v>2272</v>
      </c>
      <c r="O174" t="s">
        <v>2270</v>
      </c>
      <c r="P174" t="s">
        <v>37</v>
      </c>
    </row>
    <row r="175" spans="1:16" x14ac:dyDescent="0.25">
      <c r="A175" s="4" t="s">
        <v>266</v>
      </c>
      <c r="B175" s="4" t="s">
        <v>1905</v>
      </c>
      <c r="C175" s="4" t="str">
        <f t="shared" si="2"/>
        <v>KIWZP37_S1</v>
      </c>
      <c r="D175" s="4" t="s">
        <v>2273</v>
      </c>
      <c r="E175" s="4">
        <v>1</v>
      </c>
      <c r="F175" t="s">
        <v>2274</v>
      </c>
      <c r="G175" s="4" t="s">
        <v>54</v>
      </c>
      <c r="H175" t="s">
        <v>1912</v>
      </c>
      <c r="I175" s="4" t="s">
        <v>36</v>
      </c>
      <c r="J175">
        <v>46</v>
      </c>
      <c r="K175">
        <v>0</v>
      </c>
      <c r="L175" t="s">
        <v>5</v>
      </c>
      <c r="M175" t="s">
        <v>37</v>
      </c>
      <c r="N175" t="s">
        <v>37</v>
      </c>
      <c r="O175" t="s">
        <v>2275</v>
      </c>
      <c r="P175" t="s">
        <v>37</v>
      </c>
    </row>
    <row r="176" spans="1:16" x14ac:dyDescent="0.25">
      <c r="A176" s="4" t="s">
        <v>266</v>
      </c>
      <c r="B176" s="4" t="s">
        <v>1905</v>
      </c>
      <c r="C176" s="4" t="str">
        <f t="shared" si="2"/>
        <v>KIWZP37_S2a</v>
      </c>
      <c r="D176" s="4" t="s">
        <v>2273</v>
      </c>
      <c r="E176" s="4" t="s">
        <v>72</v>
      </c>
      <c r="F176" t="s">
        <v>2274</v>
      </c>
      <c r="G176" s="4" t="s">
        <v>2276</v>
      </c>
      <c r="H176" t="s">
        <v>1912</v>
      </c>
      <c r="I176" s="4" t="s">
        <v>36</v>
      </c>
      <c r="J176">
        <v>46</v>
      </c>
      <c r="K176">
        <v>200</v>
      </c>
      <c r="L176" t="s">
        <v>5</v>
      </c>
      <c r="M176" t="s">
        <v>37</v>
      </c>
      <c r="N176" t="s">
        <v>2277</v>
      </c>
      <c r="O176" t="s">
        <v>2275</v>
      </c>
      <c r="P176" t="s">
        <v>2278</v>
      </c>
    </row>
    <row r="177" spans="1:16" x14ac:dyDescent="0.25">
      <c r="A177" s="4" t="s">
        <v>266</v>
      </c>
      <c r="B177" s="4" t="s">
        <v>1905</v>
      </c>
      <c r="C177" s="4" t="str">
        <f t="shared" si="2"/>
        <v>KIWZP37_S2b</v>
      </c>
      <c r="D177" s="4" t="s">
        <v>2273</v>
      </c>
      <c r="E177" s="4" t="s">
        <v>75</v>
      </c>
      <c r="F177" t="s">
        <v>2274</v>
      </c>
      <c r="G177" s="4" t="s">
        <v>2279</v>
      </c>
      <c r="H177" t="s">
        <v>1912</v>
      </c>
      <c r="I177" s="4" t="s">
        <v>36</v>
      </c>
      <c r="J177">
        <v>46</v>
      </c>
      <c r="K177">
        <v>250</v>
      </c>
      <c r="L177" t="s">
        <v>5</v>
      </c>
      <c r="M177" t="s">
        <v>37</v>
      </c>
      <c r="N177" t="s">
        <v>2277</v>
      </c>
      <c r="O177" t="s">
        <v>2275</v>
      </c>
      <c r="P177" t="s">
        <v>2280</v>
      </c>
    </row>
    <row r="178" spans="1:16" x14ac:dyDescent="0.25">
      <c r="A178" s="4" t="s">
        <v>266</v>
      </c>
      <c r="B178" s="4" t="s">
        <v>1905</v>
      </c>
      <c r="C178" s="4" t="str">
        <f t="shared" si="2"/>
        <v>KIWZP38_S1</v>
      </c>
      <c r="D178" s="4" t="s">
        <v>2281</v>
      </c>
      <c r="E178" s="4">
        <v>1</v>
      </c>
      <c r="F178" t="s">
        <v>2282</v>
      </c>
      <c r="G178" s="4" t="s">
        <v>54</v>
      </c>
      <c r="H178" t="s">
        <v>1912</v>
      </c>
      <c r="I178" s="4" t="s">
        <v>36</v>
      </c>
      <c r="J178">
        <v>47</v>
      </c>
      <c r="K178">
        <v>0</v>
      </c>
      <c r="L178" t="s">
        <v>5</v>
      </c>
      <c r="M178" t="s">
        <v>37</v>
      </c>
      <c r="N178" t="s">
        <v>37</v>
      </c>
      <c r="O178" t="s">
        <v>2283</v>
      </c>
      <c r="P178" t="s">
        <v>37</v>
      </c>
    </row>
    <row r="179" spans="1:16" x14ac:dyDescent="0.25">
      <c r="A179" s="4" t="s">
        <v>266</v>
      </c>
      <c r="B179" s="4" t="s">
        <v>1905</v>
      </c>
      <c r="C179" s="4" t="str">
        <f t="shared" si="2"/>
        <v>KIWZP38_S2</v>
      </c>
      <c r="D179" s="4" t="s">
        <v>2281</v>
      </c>
      <c r="E179" s="4">
        <v>2</v>
      </c>
      <c r="F179" t="s">
        <v>2282</v>
      </c>
      <c r="G179" s="4" t="s">
        <v>49</v>
      </c>
      <c r="H179" t="s">
        <v>1912</v>
      </c>
      <c r="I179" s="4" t="s">
        <v>36</v>
      </c>
      <c r="J179">
        <v>47</v>
      </c>
      <c r="K179">
        <v>250</v>
      </c>
      <c r="L179" t="s">
        <v>5</v>
      </c>
      <c r="M179" t="s">
        <v>37</v>
      </c>
      <c r="N179" t="s">
        <v>2284</v>
      </c>
      <c r="O179" t="s">
        <v>2283</v>
      </c>
      <c r="P179" t="s">
        <v>37</v>
      </c>
    </row>
    <row r="180" spans="1:16" x14ac:dyDescent="0.25">
      <c r="A180" s="4" t="s">
        <v>266</v>
      </c>
      <c r="B180" s="4" t="s">
        <v>1905</v>
      </c>
      <c r="C180" s="4" t="str">
        <f t="shared" si="2"/>
        <v>KIWZP39_S1</v>
      </c>
      <c r="D180" s="4" t="s">
        <v>2285</v>
      </c>
      <c r="E180" s="4">
        <v>1</v>
      </c>
      <c r="F180" t="s">
        <v>2286</v>
      </c>
      <c r="G180" s="4" t="s">
        <v>54</v>
      </c>
      <c r="H180" t="s">
        <v>1912</v>
      </c>
      <c r="I180" s="4" t="s">
        <v>36</v>
      </c>
      <c r="J180">
        <v>49</v>
      </c>
      <c r="K180">
        <v>0</v>
      </c>
      <c r="L180" t="s">
        <v>5</v>
      </c>
      <c r="M180" t="s">
        <v>37</v>
      </c>
      <c r="N180" t="s">
        <v>37</v>
      </c>
      <c r="O180" t="s">
        <v>2287</v>
      </c>
      <c r="P180" t="s">
        <v>37</v>
      </c>
    </row>
    <row r="181" spans="1:16" x14ac:dyDescent="0.25">
      <c r="A181" s="4" t="s">
        <v>266</v>
      </c>
      <c r="B181" s="4" t="s">
        <v>1905</v>
      </c>
      <c r="C181" s="4" t="str">
        <f t="shared" si="2"/>
        <v>KIWZP39_S2</v>
      </c>
      <c r="D181" s="4" t="s">
        <v>2285</v>
      </c>
      <c r="E181" s="4">
        <v>2</v>
      </c>
      <c r="F181" t="s">
        <v>2286</v>
      </c>
      <c r="G181" s="4" t="s">
        <v>49</v>
      </c>
      <c r="H181" t="s">
        <v>1912</v>
      </c>
      <c r="I181" s="4" t="s">
        <v>36</v>
      </c>
      <c r="J181">
        <v>49</v>
      </c>
      <c r="K181">
        <v>50</v>
      </c>
      <c r="L181" t="s">
        <v>5</v>
      </c>
      <c r="M181" t="s">
        <v>37</v>
      </c>
      <c r="N181" t="s">
        <v>2288</v>
      </c>
      <c r="O181" t="s">
        <v>2287</v>
      </c>
      <c r="P181" t="s">
        <v>37</v>
      </c>
    </row>
    <row r="182" spans="1:16" x14ac:dyDescent="0.25">
      <c r="A182" s="4" t="s">
        <v>111</v>
      </c>
      <c r="B182" s="4" t="s">
        <v>1905</v>
      </c>
      <c r="C182" s="4" t="str">
        <f t="shared" si="2"/>
        <v>KIWZW1_S1</v>
      </c>
      <c r="D182" s="4" t="s">
        <v>2289</v>
      </c>
      <c r="E182" s="4">
        <v>1</v>
      </c>
      <c r="F182" t="s">
        <v>2290</v>
      </c>
      <c r="G182" s="4" t="s">
        <v>54</v>
      </c>
      <c r="H182" t="s">
        <v>1912</v>
      </c>
      <c r="I182" s="4" t="s">
        <v>36</v>
      </c>
      <c r="J182">
        <v>37</v>
      </c>
      <c r="K182">
        <v>0</v>
      </c>
      <c r="L182" t="s">
        <v>5</v>
      </c>
      <c r="M182" t="s">
        <v>37</v>
      </c>
      <c r="N182" t="s">
        <v>37</v>
      </c>
      <c r="O182" t="s">
        <v>2291</v>
      </c>
      <c r="P182" t="s">
        <v>37</v>
      </c>
    </row>
    <row r="183" spans="1:16" x14ac:dyDescent="0.25">
      <c r="A183" s="4" t="s">
        <v>111</v>
      </c>
      <c r="B183" s="4" t="s">
        <v>1905</v>
      </c>
      <c r="C183" s="4" t="str">
        <f t="shared" si="2"/>
        <v>KIWZW1_S2</v>
      </c>
      <c r="D183" s="4" t="s">
        <v>2289</v>
      </c>
      <c r="E183" s="4">
        <v>2</v>
      </c>
      <c r="F183" t="s">
        <v>2290</v>
      </c>
      <c r="G183" s="4" t="s">
        <v>49</v>
      </c>
      <c r="H183" t="s">
        <v>1912</v>
      </c>
      <c r="I183" s="4" t="s">
        <v>36</v>
      </c>
      <c r="J183">
        <v>37</v>
      </c>
      <c r="K183">
        <v>100</v>
      </c>
      <c r="L183" t="s">
        <v>5</v>
      </c>
      <c r="M183" t="s">
        <v>37</v>
      </c>
      <c r="N183" t="s">
        <v>2292</v>
      </c>
      <c r="O183" t="s">
        <v>2291</v>
      </c>
      <c r="P183" t="s">
        <v>37</v>
      </c>
    </row>
    <row r="184" spans="1:16" x14ac:dyDescent="0.25">
      <c r="A184" s="4" t="s">
        <v>111</v>
      </c>
      <c r="B184" s="4" t="s">
        <v>1905</v>
      </c>
      <c r="C184" s="4" t="str">
        <f t="shared" si="2"/>
        <v>KIWZW2_S1</v>
      </c>
      <c r="D184" s="4" t="s">
        <v>2293</v>
      </c>
      <c r="E184" s="4">
        <v>1</v>
      </c>
      <c r="F184" t="s">
        <v>2294</v>
      </c>
      <c r="G184" s="4" t="s">
        <v>54</v>
      </c>
      <c r="H184" t="s">
        <v>1912</v>
      </c>
      <c r="I184" s="4" t="s">
        <v>36</v>
      </c>
      <c r="J184">
        <v>38</v>
      </c>
      <c r="K184">
        <v>0</v>
      </c>
      <c r="L184" t="s">
        <v>5</v>
      </c>
      <c r="M184" t="s">
        <v>37</v>
      </c>
      <c r="N184" t="s">
        <v>37</v>
      </c>
      <c r="O184" t="s">
        <v>2295</v>
      </c>
      <c r="P184" t="s">
        <v>37</v>
      </c>
    </row>
    <row r="185" spans="1:16" x14ac:dyDescent="0.25">
      <c r="A185" s="4" t="s">
        <v>111</v>
      </c>
      <c r="B185" s="4" t="s">
        <v>1905</v>
      </c>
      <c r="C185" s="4" t="str">
        <f t="shared" si="2"/>
        <v>KIWZW2_S2</v>
      </c>
      <c r="D185" s="4" t="s">
        <v>2293</v>
      </c>
      <c r="E185" s="4">
        <v>2</v>
      </c>
      <c r="F185" t="s">
        <v>2294</v>
      </c>
      <c r="G185" s="4" t="s">
        <v>2296</v>
      </c>
      <c r="H185" t="s">
        <v>1912</v>
      </c>
      <c r="I185" s="4" t="s">
        <v>36</v>
      </c>
      <c r="J185">
        <v>38</v>
      </c>
      <c r="K185">
        <v>50</v>
      </c>
      <c r="L185" t="s">
        <v>5</v>
      </c>
      <c r="M185" t="s">
        <v>37</v>
      </c>
      <c r="N185" t="s">
        <v>2297</v>
      </c>
      <c r="O185" t="s">
        <v>2295</v>
      </c>
      <c r="P185" t="s">
        <v>37</v>
      </c>
    </row>
    <row r="186" spans="1:16" x14ac:dyDescent="0.25">
      <c r="A186" s="4" t="s">
        <v>111</v>
      </c>
      <c r="B186" s="4" t="s">
        <v>1905</v>
      </c>
      <c r="C186" s="4" t="str">
        <f t="shared" si="2"/>
        <v>KIWZW2_S3</v>
      </c>
      <c r="D186" s="4" t="s">
        <v>2293</v>
      </c>
      <c r="E186" s="4">
        <v>3</v>
      </c>
      <c r="F186" t="s">
        <v>2294</v>
      </c>
      <c r="G186" s="4" t="s">
        <v>2298</v>
      </c>
      <c r="H186" t="s">
        <v>1912</v>
      </c>
      <c r="I186" s="4" t="s">
        <v>36</v>
      </c>
      <c r="J186">
        <v>38</v>
      </c>
      <c r="K186">
        <v>150</v>
      </c>
      <c r="L186" t="s">
        <v>5</v>
      </c>
      <c r="M186" t="s">
        <v>37</v>
      </c>
      <c r="N186" t="s">
        <v>2299</v>
      </c>
      <c r="O186" t="s">
        <v>37</v>
      </c>
      <c r="P186" t="s">
        <v>37</v>
      </c>
    </row>
    <row r="187" spans="1:16" x14ac:dyDescent="0.25">
      <c r="A187" s="4" t="s">
        <v>111</v>
      </c>
      <c r="B187" s="4" t="s">
        <v>1905</v>
      </c>
      <c r="C187" s="4" t="str">
        <f t="shared" si="2"/>
        <v>KIWZW2_S4</v>
      </c>
      <c r="D187" s="4" t="s">
        <v>2293</v>
      </c>
      <c r="E187" s="4">
        <v>4</v>
      </c>
      <c r="F187" t="s">
        <v>2294</v>
      </c>
      <c r="G187" s="4" t="s">
        <v>2300</v>
      </c>
      <c r="H187" t="s">
        <v>1912</v>
      </c>
      <c r="I187" s="4" t="s">
        <v>36</v>
      </c>
      <c r="J187">
        <v>38</v>
      </c>
      <c r="K187">
        <v>100</v>
      </c>
      <c r="L187" t="s">
        <v>5</v>
      </c>
      <c r="M187" t="s">
        <v>37</v>
      </c>
      <c r="N187" t="s">
        <v>2301</v>
      </c>
      <c r="O187" t="s">
        <v>37</v>
      </c>
      <c r="P187" t="s">
        <v>37</v>
      </c>
    </row>
    <row r="188" spans="1:16" x14ac:dyDescent="0.25">
      <c r="A188" s="4" t="s">
        <v>111</v>
      </c>
      <c r="B188" s="4" t="s">
        <v>1905</v>
      </c>
      <c r="C188" s="4" t="str">
        <f t="shared" si="2"/>
        <v>KIWZW2_S5</v>
      </c>
      <c r="D188" s="4" t="s">
        <v>2293</v>
      </c>
      <c r="E188" s="4">
        <v>5</v>
      </c>
      <c r="F188" t="s">
        <v>2294</v>
      </c>
      <c r="G188" s="4" t="s">
        <v>49</v>
      </c>
      <c r="H188" t="s">
        <v>1912</v>
      </c>
      <c r="I188" s="4" t="s">
        <v>36</v>
      </c>
      <c r="J188">
        <v>38</v>
      </c>
      <c r="K188">
        <v>200</v>
      </c>
      <c r="L188" t="s">
        <v>5</v>
      </c>
      <c r="M188" t="s">
        <v>37</v>
      </c>
      <c r="N188" t="s">
        <v>2302</v>
      </c>
      <c r="O188" t="s">
        <v>37</v>
      </c>
      <c r="P188" t="s">
        <v>37</v>
      </c>
    </row>
    <row r="189" spans="1:16" x14ac:dyDescent="0.25">
      <c r="A189" s="4" t="s">
        <v>111</v>
      </c>
      <c r="B189" s="4" t="s">
        <v>1905</v>
      </c>
      <c r="C189" s="4" t="str">
        <f t="shared" si="2"/>
        <v>KIWZW3_S1</v>
      </c>
      <c r="D189" s="4" t="s">
        <v>2303</v>
      </c>
      <c r="E189" s="4">
        <v>1</v>
      </c>
      <c r="F189" t="s">
        <v>2304</v>
      </c>
      <c r="G189" s="4" t="s">
        <v>54</v>
      </c>
      <c r="H189" t="s">
        <v>1912</v>
      </c>
      <c r="I189" s="4" t="s">
        <v>36</v>
      </c>
      <c r="J189">
        <v>40</v>
      </c>
      <c r="K189">
        <v>0</v>
      </c>
      <c r="L189" t="s">
        <v>5</v>
      </c>
      <c r="M189" t="s">
        <v>37</v>
      </c>
      <c r="N189" t="s">
        <v>37</v>
      </c>
      <c r="O189" t="s">
        <v>2305</v>
      </c>
      <c r="P189" t="s">
        <v>37</v>
      </c>
    </row>
    <row r="190" spans="1:16" x14ac:dyDescent="0.25">
      <c r="A190" s="4" t="s">
        <v>111</v>
      </c>
      <c r="B190" s="4" t="s">
        <v>1905</v>
      </c>
      <c r="C190" s="4" t="str">
        <f t="shared" si="2"/>
        <v>KIWZW3_S2</v>
      </c>
      <c r="D190" s="4" t="s">
        <v>2303</v>
      </c>
      <c r="E190" s="4">
        <v>2</v>
      </c>
      <c r="F190" t="s">
        <v>2304</v>
      </c>
      <c r="G190" s="4" t="s">
        <v>49</v>
      </c>
      <c r="H190" t="s">
        <v>1912</v>
      </c>
      <c r="I190" s="4" t="s">
        <v>36</v>
      </c>
      <c r="J190">
        <v>40</v>
      </c>
      <c r="K190">
        <v>100</v>
      </c>
      <c r="L190" t="s">
        <v>5</v>
      </c>
      <c r="M190" t="s">
        <v>37</v>
      </c>
      <c r="N190" t="s">
        <v>2306</v>
      </c>
      <c r="O190" t="s">
        <v>2305</v>
      </c>
      <c r="P190" t="s">
        <v>37</v>
      </c>
    </row>
    <row r="191" spans="1:16" x14ac:dyDescent="0.25">
      <c r="A191" s="4" t="s">
        <v>111</v>
      </c>
      <c r="B191" s="4" t="s">
        <v>1905</v>
      </c>
      <c r="C191" s="4" t="str">
        <f t="shared" si="2"/>
        <v>KIWZW4_S1</v>
      </c>
      <c r="D191" s="4" t="s">
        <v>2307</v>
      </c>
      <c r="E191" s="4">
        <v>1</v>
      </c>
      <c r="F191" t="s">
        <v>2308</v>
      </c>
      <c r="G191" s="4" t="s">
        <v>54</v>
      </c>
      <c r="H191" t="s">
        <v>1912</v>
      </c>
      <c r="I191" s="4" t="s">
        <v>36</v>
      </c>
      <c r="J191">
        <v>40</v>
      </c>
      <c r="K191">
        <v>0</v>
      </c>
      <c r="L191" t="s">
        <v>5</v>
      </c>
      <c r="M191" t="s">
        <v>37</v>
      </c>
      <c r="N191" t="s">
        <v>37</v>
      </c>
      <c r="O191" t="s">
        <v>2309</v>
      </c>
      <c r="P191" t="s">
        <v>37</v>
      </c>
    </row>
    <row r="192" spans="1:16" x14ac:dyDescent="0.25">
      <c r="A192" s="4" t="s">
        <v>111</v>
      </c>
      <c r="B192" s="4" t="s">
        <v>1905</v>
      </c>
      <c r="C192" s="4" t="str">
        <f t="shared" si="2"/>
        <v>KIWZW4_S2</v>
      </c>
      <c r="D192" s="4" t="s">
        <v>2307</v>
      </c>
      <c r="E192" s="4">
        <v>2</v>
      </c>
      <c r="F192" t="s">
        <v>2308</v>
      </c>
      <c r="G192" s="4" t="s">
        <v>49</v>
      </c>
      <c r="H192" t="s">
        <v>1912</v>
      </c>
      <c r="I192" s="4" t="s">
        <v>36</v>
      </c>
      <c r="J192">
        <v>40</v>
      </c>
      <c r="K192">
        <v>100</v>
      </c>
      <c r="L192" t="s">
        <v>5</v>
      </c>
      <c r="M192" t="s">
        <v>37</v>
      </c>
      <c r="N192" t="s">
        <v>2310</v>
      </c>
      <c r="O192" t="s">
        <v>2309</v>
      </c>
      <c r="P192" t="s">
        <v>37</v>
      </c>
    </row>
    <row r="193" spans="1:16" x14ac:dyDescent="0.25">
      <c r="A193" s="4" t="s">
        <v>111</v>
      </c>
      <c r="B193" s="4" t="s">
        <v>1905</v>
      </c>
      <c r="C193" s="4" t="str">
        <f t="shared" si="2"/>
        <v>KIWZW5_S1</v>
      </c>
      <c r="D193" s="4" t="s">
        <v>2311</v>
      </c>
      <c r="E193" s="4">
        <v>1</v>
      </c>
      <c r="F193" t="s">
        <v>2312</v>
      </c>
      <c r="G193" s="4" t="s">
        <v>54</v>
      </c>
      <c r="H193" t="s">
        <v>1912</v>
      </c>
      <c r="I193" s="4" t="s">
        <v>36</v>
      </c>
      <c r="J193">
        <v>43</v>
      </c>
      <c r="K193">
        <v>0</v>
      </c>
      <c r="L193" t="s">
        <v>5</v>
      </c>
      <c r="M193" t="s">
        <v>37</v>
      </c>
      <c r="N193" t="s">
        <v>37</v>
      </c>
      <c r="O193" t="s">
        <v>2313</v>
      </c>
      <c r="P193" t="s">
        <v>37</v>
      </c>
    </row>
    <row r="194" spans="1:16" x14ac:dyDescent="0.25">
      <c r="A194" s="4" t="s">
        <v>111</v>
      </c>
      <c r="B194" s="4" t="s">
        <v>1905</v>
      </c>
      <c r="C194" s="4" t="str">
        <f t="shared" ref="C194:C257" si="3">_xlfn.CONCAT(D194,"_S",E194)</f>
        <v>KIWZW5_S2</v>
      </c>
      <c r="D194" s="4" t="s">
        <v>2311</v>
      </c>
      <c r="E194" s="4">
        <v>2</v>
      </c>
      <c r="F194" t="s">
        <v>2312</v>
      </c>
      <c r="G194" s="4" t="s">
        <v>49</v>
      </c>
      <c r="H194" t="s">
        <v>1912</v>
      </c>
      <c r="I194" s="4" t="s">
        <v>36</v>
      </c>
      <c r="J194">
        <v>43</v>
      </c>
      <c r="K194">
        <v>150</v>
      </c>
      <c r="L194" t="s">
        <v>5</v>
      </c>
      <c r="M194" t="s">
        <v>37</v>
      </c>
      <c r="N194" t="s">
        <v>2314</v>
      </c>
      <c r="O194" t="s">
        <v>2313</v>
      </c>
      <c r="P194" t="s">
        <v>37</v>
      </c>
    </row>
    <row r="195" spans="1:16" x14ac:dyDescent="0.25">
      <c r="A195" s="4" t="s">
        <v>111</v>
      </c>
      <c r="B195" s="4" t="s">
        <v>1905</v>
      </c>
      <c r="C195" s="4" t="str">
        <f t="shared" si="3"/>
        <v>KIWZW6_S1</v>
      </c>
      <c r="D195" s="4" t="s">
        <v>2315</v>
      </c>
      <c r="E195" s="4">
        <v>1</v>
      </c>
      <c r="F195" t="s">
        <v>2316</v>
      </c>
      <c r="G195" s="4" t="s">
        <v>54</v>
      </c>
      <c r="H195" t="s">
        <v>1912</v>
      </c>
      <c r="I195" s="4" t="s">
        <v>36</v>
      </c>
      <c r="J195">
        <v>43</v>
      </c>
      <c r="K195">
        <v>0</v>
      </c>
      <c r="L195" t="s">
        <v>5</v>
      </c>
      <c r="M195" t="s">
        <v>37</v>
      </c>
      <c r="N195" t="s">
        <v>37</v>
      </c>
      <c r="O195" t="s">
        <v>2317</v>
      </c>
      <c r="P195" t="s">
        <v>37</v>
      </c>
    </row>
    <row r="196" spans="1:16" x14ac:dyDescent="0.25">
      <c r="A196" s="4" t="s">
        <v>111</v>
      </c>
      <c r="B196" s="4" t="s">
        <v>1905</v>
      </c>
      <c r="C196" s="4" t="str">
        <f t="shared" si="3"/>
        <v>KIWZW6_S2</v>
      </c>
      <c r="D196" s="4" t="s">
        <v>2315</v>
      </c>
      <c r="E196" s="4">
        <v>2</v>
      </c>
      <c r="F196" t="s">
        <v>2316</v>
      </c>
      <c r="G196" s="4" t="s">
        <v>49</v>
      </c>
      <c r="H196" t="s">
        <v>1912</v>
      </c>
      <c r="I196" s="4" t="s">
        <v>36</v>
      </c>
      <c r="J196">
        <v>43</v>
      </c>
      <c r="K196">
        <v>150</v>
      </c>
      <c r="L196" t="s">
        <v>5</v>
      </c>
      <c r="M196" t="s">
        <v>37</v>
      </c>
      <c r="N196" t="s">
        <v>2318</v>
      </c>
      <c r="O196" t="s">
        <v>2317</v>
      </c>
      <c r="P196" t="s">
        <v>37</v>
      </c>
    </row>
    <row r="197" spans="1:16" x14ac:dyDescent="0.25">
      <c r="A197" s="4" t="s">
        <v>111</v>
      </c>
      <c r="B197" s="4" t="s">
        <v>1905</v>
      </c>
      <c r="C197" s="4" t="str">
        <f t="shared" si="3"/>
        <v>KIWZW7_S1</v>
      </c>
      <c r="D197" s="4" t="s">
        <v>2319</v>
      </c>
      <c r="E197" s="4">
        <v>1</v>
      </c>
      <c r="F197" t="s">
        <v>2320</v>
      </c>
      <c r="G197" s="4" t="s">
        <v>54</v>
      </c>
      <c r="H197" t="s">
        <v>1912</v>
      </c>
      <c r="I197" s="4" t="s">
        <v>36</v>
      </c>
      <c r="J197">
        <v>48</v>
      </c>
      <c r="K197">
        <v>0</v>
      </c>
      <c r="L197" t="s">
        <v>5</v>
      </c>
      <c r="M197" t="s">
        <v>37</v>
      </c>
      <c r="N197" t="s">
        <v>37</v>
      </c>
      <c r="O197" t="s">
        <v>2321</v>
      </c>
      <c r="P197" t="s">
        <v>37</v>
      </c>
    </row>
    <row r="198" spans="1:16" x14ac:dyDescent="0.25">
      <c r="A198" s="4" t="s">
        <v>111</v>
      </c>
      <c r="B198" s="4" t="s">
        <v>1905</v>
      </c>
      <c r="C198" s="4" t="str">
        <f t="shared" si="3"/>
        <v>KIWZW7_S2a</v>
      </c>
      <c r="D198" s="4" t="s">
        <v>2319</v>
      </c>
      <c r="E198" s="4" t="s">
        <v>72</v>
      </c>
      <c r="F198" t="s">
        <v>2320</v>
      </c>
      <c r="G198" s="4" t="s">
        <v>2322</v>
      </c>
      <c r="H198" t="s">
        <v>1912</v>
      </c>
      <c r="I198" s="4" t="s">
        <v>36</v>
      </c>
      <c r="J198">
        <v>48</v>
      </c>
      <c r="K198">
        <v>200</v>
      </c>
      <c r="L198" t="s">
        <v>5</v>
      </c>
      <c r="M198" t="s">
        <v>37</v>
      </c>
      <c r="N198" t="s">
        <v>2323</v>
      </c>
      <c r="O198" t="s">
        <v>2321</v>
      </c>
      <c r="P198" t="s">
        <v>37</v>
      </c>
    </row>
    <row r="199" spans="1:16" x14ac:dyDescent="0.25">
      <c r="A199" s="4" t="s">
        <v>111</v>
      </c>
      <c r="B199" s="4" t="s">
        <v>1905</v>
      </c>
      <c r="C199" s="4" t="str">
        <f t="shared" si="3"/>
        <v>KIWZW7_S2b</v>
      </c>
      <c r="D199" s="4" t="s">
        <v>2319</v>
      </c>
      <c r="E199" s="4" t="s">
        <v>75</v>
      </c>
      <c r="F199" t="s">
        <v>2320</v>
      </c>
      <c r="G199" s="4" t="s">
        <v>2324</v>
      </c>
      <c r="H199" t="s">
        <v>1912</v>
      </c>
      <c r="I199" s="4" t="s">
        <v>36</v>
      </c>
      <c r="J199">
        <v>48</v>
      </c>
      <c r="K199">
        <v>0</v>
      </c>
      <c r="L199" t="s">
        <v>5</v>
      </c>
      <c r="M199" t="s">
        <v>37</v>
      </c>
      <c r="N199" t="s">
        <v>2323</v>
      </c>
      <c r="O199" t="s">
        <v>2321</v>
      </c>
      <c r="P199" t="s">
        <v>37</v>
      </c>
    </row>
    <row r="200" spans="1:16" x14ac:dyDescent="0.25">
      <c r="A200" s="4" t="s">
        <v>111</v>
      </c>
      <c r="B200" s="4" t="s">
        <v>1905</v>
      </c>
      <c r="C200" s="4" t="str">
        <f t="shared" si="3"/>
        <v>KIWZW7_S3a</v>
      </c>
      <c r="D200" s="4" t="s">
        <v>2319</v>
      </c>
      <c r="E200" s="4" t="s">
        <v>40</v>
      </c>
      <c r="F200" t="s">
        <v>2320</v>
      </c>
      <c r="G200" s="4" t="s">
        <v>2325</v>
      </c>
      <c r="H200" t="s">
        <v>1912</v>
      </c>
      <c r="I200" s="4" t="s">
        <v>36</v>
      </c>
      <c r="J200">
        <v>48</v>
      </c>
      <c r="K200">
        <v>200</v>
      </c>
      <c r="L200" t="s">
        <v>5</v>
      </c>
      <c r="M200" t="s">
        <v>37</v>
      </c>
      <c r="N200" t="s">
        <v>2326</v>
      </c>
      <c r="O200" t="s">
        <v>37</v>
      </c>
      <c r="P200" t="s">
        <v>2327</v>
      </c>
    </row>
    <row r="201" spans="1:16" x14ac:dyDescent="0.25">
      <c r="A201" s="4" t="s">
        <v>111</v>
      </c>
      <c r="B201" s="4" t="s">
        <v>1905</v>
      </c>
      <c r="C201" s="4" t="str">
        <f t="shared" si="3"/>
        <v>KIWZW7_S3b</v>
      </c>
      <c r="D201" s="4" t="s">
        <v>2319</v>
      </c>
      <c r="E201" s="4" t="s">
        <v>44</v>
      </c>
      <c r="F201" t="s">
        <v>2320</v>
      </c>
      <c r="G201" s="4" t="s">
        <v>2328</v>
      </c>
      <c r="H201" t="s">
        <v>1912</v>
      </c>
      <c r="I201" s="4" t="s">
        <v>36</v>
      </c>
      <c r="J201">
        <v>48</v>
      </c>
      <c r="K201">
        <v>50</v>
      </c>
      <c r="L201" t="s">
        <v>5</v>
      </c>
      <c r="M201" t="s">
        <v>37</v>
      </c>
      <c r="N201" t="s">
        <v>2326</v>
      </c>
      <c r="O201" t="s">
        <v>37</v>
      </c>
      <c r="P201" t="s">
        <v>2329</v>
      </c>
    </row>
    <row r="202" spans="1:16" x14ac:dyDescent="0.25">
      <c r="A202" s="4" t="s">
        <v>111</v>
      </c>
      <c r="B202" s="4" t="s">
        <v>1905</v>
      </c>
      <c r="C202" s="4" t="str">
        <f t="shared" si="3"/>
        <v>KIWZW7_S4</v>
      </c>
      <c r="D202" s="4" t="s">
        <v>2319</v>
      </c>
      <c r="E202" s="4">
        <v>4</v>
      </c>
      <c r="F202" t="s">
        <v>2320</v>
      </c>
      <c r="G202" s="4" t="s">
        <v>49</v>
      </c>
      <c r="H202" t="s">
        <v>1912</v>
      </c>
      <c r="I202" s="4" t="s">
        <v>36</v>
      </c>
      <c r="J202">
        <v>48</v>
      </c>
      <c r="K202">
        <v>400</v>
      </c>
      <c r="L202" t="s">
        <v>5</v>
      </c>
      <c r="M202" t="s">
        <v>37</v>
      </c>
      <c r="N202" t="s">
        <v>2330</v>
      </c>
      <c r="O202" t="s">
        <v>37</v>
      </c>
      <c r="P202" t="s">
        <v>37</v>
      </c>
    </row>
    <row r="203" spans="1:16" x14ac:dyDescent="0.25">
      <c r="A203" s="4" t="s">
        <v>116</v>
      </c>
      <c r="B203" s="4" t="s">
        <v>1905</v>
      </c>
      <c r="C203" s="4" t="str">
        <f t="shared" si="3"/>
        <v>KIWP1_S1</v>
      </c>
      <c r="D203" s="4" t="s">
        <v>2331</v>
      </c>
      <c r="E203" s="4">
        <v>1</v>
      </c>
      <c r="F203" s="5" t="s">
        <v>2332</v>
      </c>
      <c r="G203" s="4" t="s">
        <v>54</v>
      </c>
      <c r="H203" t="s">
        <v>1912</v>
      </c>
      <c r="I203" s="4" t="s">
        <v>36</v>
      </c>
      <c r="J203">
        <v>40</v>
      </c>
      <c r="K203">
        <v>0</v>
      </c>
      <c r="L203" t="s">
        <v>5</v>
      </c>
      <c r="M203" t="s">
        <v>37</v>
      </c>
      <c r="N203" t="s">
        <v>37</v>
      </c>
      <c r="O203" t="s">
        <v>2333</v>
      </c>
      <c r="P203" t="s">
        <v>37</v>
      </c>
    </row>
    <row r="204" spans="1:16" x14ac:dyDescent="0.25">
      <c r="A204" s="4" t="s">
        <v>116</v>
      </c>
      <c r="B204" s="4" t="s">
        <v>1905</v>
      </c>
      <c r="C204" s="4" t="str">
        <f t="shared" si="3"/>
        <v>KIWP1_S2</v>
      </c>
      <c r="D204" s="4" t="s">
        <v>2331</v>
      </c>
      <c r="E204" s="4">
        <v>2</v>
      </c>
      <c r="F204" s="5" t="s">
        <v>2332</v>
      </c>
      <c r="G204" s="4" t="s">
        <v>49</v>
      </c>
      <c r="H204" t="s">
        <v>1912</v>
      </c>
      <c r="I204" s="4" t="s">
        <v>36</v>
      </c>
      <c r="J204">
        <v>40</v>
      </c>
      <c r="K204">
        <v>300</v>
      </c>
      <c r="L204" t="s">
        <v>5</v>
      </c>
      <c r="M204" t="s">
        <v>37</v>
      </c>
      <c r="N204" t="s">
        <v>2334</v>
      </c>
      <c r="O204" t="s">
        <v>2333</v>
      </c>
      <c r="P204" t="s">
        <v>37</v>
      </c>
    </row>
    <row r="205" spans="1:16" x14ac:dyDescent="0.25">
      <c r="A205" s="4" t="s">
        <v>116</v>
      </c>
      <c r="B205" s="4" t="s">
        <v>1905</v>
      </c>
      <c r="C205" s="4" t="str">
        <f t="shared" si="3"/>
        <v>KIWP2_S1</v>
      </c>
      <c r="D205" s="4" t="s">
        <v>2335</v>
      </c>
      <c r="E205" s="4">
        <v>1</v>
      </c>
      <c r="F205" t="s">
        <v>2336</v>
      </c>
      <c r="G205" s="4" t="s">
        <v>54</v>
      </c>
      <c r="H205" t="s">
        <v>1912</v>
      </c>
      <c r="I205" s="4" t="s">
        <v>36</v>
      </c>
      <c r="J205">
        <v>40</v>
      </c>
      <c r="K205">
        <v>0</v>
      </c>
      <c r="L205" t="s">
        <v>5</v>
      </c>
      <c r="M205" t="s">
        <v>37</v>
      </c>
      <c r="N205" t="s">
        <v>37</v>
      </c>
      <c r="O205" t="s">
        <v>2337</v>
      </c>
      <c r="P205" t="s">
        <v>37</v>
      </c>
    </row>
    <row r="206" spans="1:16" x14ac:dyDescent="0.25">
      <c r="A206" s="4" t="s">
        <v>116</v>
      </c>
      <c r="B206" s="4" t="s">
        <v>1905</v>
      </c>
      <c r="C206" s="4" t="str">
        <f t="shared" si="3"/>
        <v>KIWP2_S2</v>
      </c>
      <c r="D206" s="4" t="s">
        <v>2335</v>
      </c>
      <c r="E206" s="4">
        <v>2</v>
      </c>
      <c r="F206" t="s">
        <v>2336</v>
      </c>
      <c r="G206" s="4" t="s">
        <v>49</v>
      </c>
      <c r="H206" t="s">
        <v>1912</v>
      </c>
      <c r="I206" s="4" t="s">
        <v>36</v>
      </c>
      <c r="J206">
        <v>40</v>
      </c>
      <c r="K206">
        <v>300</v>
      </c>
      <c r="L206" t="s">
        <v>5</v>
      </c>
      <c r="M206" t="s">
        <v>37</v>
      </c>
      <c r="N206" t="s">
        <v>2338</v>
      </c>
      <c r="O206" t="s">
        <v>2337</v>
      </c>
      <c r="P206" t="s">
        <v>37</v>
      </c>
    </row>
    <row r="207" spans="1:16" x14ac:dyDescent="0.25">
      <c r="A207" s="4" t="s">
        <v>116</v>
      </c>
      <c r="B207" s="4" t="s">
        <v>1905</v>
      </c>
      <c r="C207" s="4" t="str">
        <f t="shared" si="3"/>
        <v>KIWP3_S1</v>
      </c>
      <c r="D207" s="4" t="s">
        <v>2339</v>
      </c>
      <c r="E207" s="4">
        <v>1</v>
      </c>
      <c r="F207" t="s">
        <v>2340</v>
      </c>
      <c r="G207" s="4" t="s">
        <v>54</v>
      </c>
      <c r="H207" t="s">
        <v>1912</v>
      </c>
      <c r="I207" s="4" t="s">
        <v>36</v>
      </c>
      <c r="J207">
        <v>40</v>
      </c>
      <c r="K207">
        <v>0</v>
      </c>
      <c r="L207" t="s">
        <v>5</v>
      </c>
      <c r="M207" t="s">
        <v>37</v>
      </c>
      <c r="N207" t="s">
        <v>37</v>
      </c>
      <c r="O207" t="s">
        <v>2341</v>
      </c>
      <c r="P207" t="s">
        <v>37</v>
      </c>
    </row>
    <row r="208" spans="1:16" x14ac:dyDescent="0.25">
      <c r="A208" s="4" t="s">
        <v>116</v>
      </c>
      <c r="B208" s="4" t="s">
        <v>1905</v>
      </c>
      <c r="C208" s="4" t="str">
        <f t="shared" si="3"/>
        <v>KIWP3_S2</v>
      </c>
      <c r="D208" s="4" t="s">
        <v>2339</v>
      </c>
      <c r="E208" s="4">
        <v>2</v>
      </c>
      <c r="F208" t="s">
        <v>2340</v>
      </c>
      <c r="G208" s="4" t="s">
        <v>49</v>
      </c>
      <c r="H208" t="s">
        <v>1912</v>
      </c>
      <c r="I208" s="4" t="s">
        <v>36</v>
      </c>
      <c r="J208">
        <v>40</v>
      </c>
      <c r="K208">
        <v>300</v>
      </c>
      <c r="L208" t="s">
        <v>5</v>
      </c>
      <c r="M208" t="s">
        <v>37</v>
      </c>
      <c r="N208" t="s">
        <v>2342</v>
      </c>
      <c r="O208" t="s">
        <v>2341</v>
      </c>
      <c r="P208" t="s">
        <v>37</v>
      </c>
    </row>
    <row r="209" spans="1:16" x14ac:dyDescent="0.25">
      <c r="A209" s="4" t="s">
        <v>116</v>
      </c>
      <c r="B209" s="4" t="s">
        <v>1905</v>
      </c>
      <c r="C209" s="4" t="str">
        <f t="shared" si="3"/>
        <v>KIWP4_S1</v>
      </c>
      <c r="D209" s="4" t="s">
        <v>2343</v>
      </c>
      <c r="E209" s="4">
        <v>1</v>
      </c>
      <c r="F209" t="s">
        <v>2344</v>
      </c>
      <c r="G209" s="4" t="s">
        <v>54</v>
      </c>
      <c r="H209" t="s">
        <v>1912</v>
      </c>
      <c r="I209" s="4" t="s">
        <v>36</v>
      </c>
      <c r="J209">
        <v>40</v>
      </c>
      <c r="K209">
        <v>0</v>
      </c>
      <c r="L209" t="s">
        <v>5</v>
      </c>
      <c r="M209" t="s">
        <v>37</v>
      </c>
      <c r="N209" t="s">
        <v>37</v>
      </c>
      <c r="O209" t="s">
        <v>2345</v>
      </c>
      <c r="P209" t="s">
        <v>37</v>
      </c>
    </row>
    <row r="210" spans="1:16" x14ac:dyDescent="0.25">
      <c r="A210" s="4" t="s">
        <v>116</v>
      </c>
      <c r="B210" s="4" t="s">
        <v>1905</v>
      </c>
      <c r="C210" s="4" t="str">
        <f t="shared" si="3"/>
        <v>KIWP4_S2</v>
      </c>
      <c r="D210" s="4" t="s">
        <v>2343</v>
      </c>
      <c r="E210" s="4">
        <v>2</v>
      </c>
      <c r="F210" t="s">
        <v>2344</v>
      </c>
      <c r="G210" s="4" t="s">
        <v>49</v>
      </c>
      <c r="H210" t="s">
        <v>1912</v>
      </c>
      <c r="I210" s="4" t="s">
        <v>36</v>
      </c>
      <c r="J210">
        <v>40</v>
      </c>
      <c r="K210">
        <v>300</v>
      </c>
      <c r="L210" t="s">
        <v>5</v>
      </c>
      <c r="M210" t="s">
        <v>37</v>
      </c>
      <c r="N210" t="s">
        <v>2346</v>
      </c>
      <c r="O210" t="s">
        <v>2345</v>
      </c>
      <c r="P210" t="s">
        <v>37</v>
      </c>
    </row>
    <row r="211" spans="1:16" x14ac:dyDescent="0.25">
      <c r="A211" s="4" t="s">
        <v>116</v>
      </c>
      <c r="B211" s="4" t="s">
        <v>1905</v>
      </c>
      <c r="C211" s="4" t="str">
        <f t="shared" si="3"/>
        <v>KIWP5_S1</v>
      </c>
      <c r="D211" s="4" t="s">
        <v>2347</v>
      </c>
      <c r="E211" s="4">
        <v>1</v>
      </c>
      <c r="F211" t="s">
        <v>2348</v>
      </c>
      <c r="G211" s="4" t="s">
        <v>54</v>
      </c>
      <c r="H211" t="s">
        <v>1912</v>
      </c>
      <c r="I211" s="4" t="s">
        <v>36</v>
      </c>
      <c r="J211">
        <v>40</v>
      </c>
      <c r="K211">
        <v>0</v>
      </c>
      <c r="L211" t="s">
        <v>5</v>
      </c>
      <c r="M211" t="s">
        <v>37</v>
      </c>
      <c r="N211" t="s">
        <v>37</v>
      </c>
      <c r="O211" t="s">
        <v>2349</v>
      </c>
      <c r="P211" t="s">
        <v>37</v>
      </c>
    </row>
    <row r="212" spans="1:16" x14ac:dyDescent="0.25">
      <c r="A212" s="4" t="s">
        <v>116</v>
      </c>
      <c r="B212" s="4" t="s">
        <v>1905</v>
      </c>
      <c r="C212" s="4" t="str">
        <f t="shared" si="3"/>
        <v>KIWP5_S2</v>
      </c>
      <c r="D212" s="4" t="s">
        <v>2347</v>
      </c>
      <c r="E212" s="4">
        <v>2</v>
      </c>
      <c r="F212" t="s">
        <v>2348</v>
      </c>
      <c r="G212" s="4" t="s">
        <v>49</v>
      </c>
      <c r="H212" t="s">
        <v>1912</v>
      </c>
      <c r="I212" s="4" t="s">
        <v>36</v>
      </c>
      <c r="J212">
        <v>40</v>
      </c>
      <c r="K212">
        <v>300</v>
      </c>
      <c r="L212" t="s">
        <v>5</v>
      </c>
      <c r="M212" t="s">
        <v>37</v>
      </c>
      <c r="N212" t="s">
        <v>2350</v>
      </c>
      <c r="O212" t="s">
        <v>2349</v>
      </c>
      <c r="P212" t="s">
        <v>37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1"/>
  <sheetViews>
    <sheetView workbookViewId="0">
      <selection activeCell="O22" sqref="O22:W40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22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2355</v>
      </c>
      <c r="B2" t="s">
        <v>2356</v>
      </c>
      <c r="C2" t="s">
        <v>2357</v>
      </c>
      <c r="D2" t="s">
        <v>39</v>
      </c>
    </row>
    <row r="3" spans="1:4" x14ac:dyDescent="0.25">
      <c r="A3" t="s">
        <v>2358</v>
      </c>
      <c r="B3" t="s">
        <v>39</v>
      </c>
      <c r="C3" t="s">
        <v>2359</v>
      </c>
      <c r="D3" t="s">
        <v>43</v>
      </c>
    </row>
    <row r="4" spans="1:4" x14ac:dyDescent="0.25">
      <c r="A4" t="s">
        <v>2360</v>
      </c>
      <c r="B4" t="s">
        <v>2356</v>
      </c>
      <c r="C4" t="s">
        <v>2357</v>
      </c>
      <c r="D4" t="s">
        <v>43</v>
      </c>
    </row>
    <row r="5" spans="1:4" x14ac:dyDescent="0.25">
      <c r="A5" t="s">
        <v>2361</v>
      </c>
      <c r="B5" t="s">
        <v>43</v>
      </c>
      <c r="C5" t="s">
        <v>2359</v>
      </c>
      <c r="D5" t="s">
        <v>2362</v>
      </c>
    </row>
    <row r="6" spans="1:4" x14ac:dyDescent="0.25">
      <c r="A6" t="s">
        <v>2363</v>
      </c>
      <c r="B6" t="s">
        <v>43</v>
      </c>
      <c r="C6" t="s">
        <v>2359</v>
      </c>
      <c r="D6" t="s">
        <v>2364</v>
      </c>
    </row>
    <row r="7" spans="1:4" x14ac:dyDescent="0.25">
      <c r="A7" t="s">
        <v>2365</v>
      </c>
      <c r="B7" t="s">
        <v>2362</v>
      </c>
      <c r="C7" t="s">
        <v>2366</v>
      </c>
      <c r="D7" t="s">
        <v>86</v>
      </c>
    </row>
    <row r="8" spans="1:4" x14ac:dyDescent="0.25">
      <c r="A8" t="s">
        <v>2367</v>
      </c>
      <c r="B8" t="s">
        <v>2364</v>
      </c>
      <c r="C8" t="s">
        <v>2366</v>
      </c>
      <c r="D8" t="s">
        <v>86</v>
      </c>
    </row>
    <row r="9" spans="1:4" x14ac:dyDescent="0.25">
      <c r="A9" t="s">
        <v>2368</v>
      </c>
      <c r="B9" t="s">
        <v>2356</v>
      </c>
      <c r="C9" t="s">
        <v>2357</v>
      </c>
      <c r="D9" t="s">
        <v>86</v>
      </c>
    </row>
    <row r="10" spans="1:4" x14ac:dyDescent="0.25">
      <c r="A10" t="s">
        <v>2369</v>
      </c>
      <c r="B10" t="s">
        <v>50</v>
      </c>
      <c r="C10" t="s">
        <v>2359</v>
      </c>
      <c r="D10" t="s">
        <v>85</v>
      </c>
    </row>
    <row r="11" spans="1:4" x14ac:dyDescent="0.25">
      <c r="A11" t="s">
        <v>2370</v>
      </c>
      <c r="B11" t="s">
        <v>51</v>
      </c>
      <c r="C11" t="s">
        <v>2357</v>
      </c>
      <c r="D11" t="s">
        <v>85</v>
      </c>
    </row>
    <row r="12" spans="1:4" x14ac:dyDescent="0.25">
      <c r="A12" t="s">
        <v>2371</v>
      </c>
      <c r="B12" t="s">
        <v>56</v>
      </c>
      <c r="C12" t="s">
        <v>2357</v>
      </c>
      <c r="D12" t="s">
        <v>59</v>
      </c>
    </row>
    <row r="13" spans="1:4" x14ac:dyDescent="0.25">
      <c r="A13" t="s">
        <v>2372</v>
      </c>
      <c r="B13" t="s">
        <v>56</v>
      </c>
      <c r="C13" t="s">
        <v>2357</v>
      </c>
      <c r="D13" t="s">
        <v>62</v>
      </c>
    </row>
    <row r="14" spans="1:4" x14ac:dyDescent="0.25">
      <c r="A14" t="s">
        <v>2373</v>
      </c>
      <c r="B14" t="s">
        <v>59</v>
      </c>
      <c r="C14" t="s">
        <v>2359</v>
      </c>
      <c r="D14" t="s">
        <v>2374</v>
      </c>
    </row>
    <row r="15" spans="1:4" x14ac:dyDescent="0.25">
      <c r="A15" t="s">
        <v>2375</v>
      </c>
      <c r="B15" t="s">
        <v>62</v>
      </c>
      <c r="C15" t="s">
        <v>2359</v>
      </c>
      <c r="D15" t="s">
        <v>2376</v>
      </c>
    </row>
    <row r="16" spans="1:4" x14ac:dyDescent="0.25">
      <c r="A16" t="s">
        <v>2377</v>
      </c>
      <c r="B16" t="s">
        <v>62</v>
      </c>
      <c r="C16" t="s">
        <v>2359</v>
      </c>
      <c r="D16" t="s">
        <v>2378</v>
      </c>
    </row>
    <row r="17" spans="1:4" x14ac:dyDescent="0.25">
      <c r="A17" t="s">
        <v>2379</v>
      </c>
      <c r="B17" t="s">
        <v>51</v>
      </c>
      <c r="C17" t="s">
        <v>2357</v>
      </c>
      <c r="D17" t="s">
        <v>50</v>
      </c>
    </row>
    <row r="18" spans="1:4" x14ac:dyDescent="0.25">
      <c r="A18" t="s">
        <v>2380</v>
      </c>
      <c r="B18" t="s">
        <v>51</v>
      </c>
      <c r="C18" t="s">
        <v>2357</v>
      </c>
      <c r="D18" t="s">
        <v>2381</v>
      </c>
    </row>
    <row r="19" spans="1:4" x14ac:dyDescent="0.25">
      <c r="A19" t="s">
        <v>2382</v>
      </c>
      <c r="B19" t="s">
        <v>70</v>
      </c>
      <c r="C19" t="s">
        <v>2359</v>
      </c>
      <c r="D19" t="s">
        <v>2383</v>
      </c>
    </row>
    <row r="20" spans="1:4" x14ac:dyDescent="0.25">
      <c r="A20" t="s">
        <v>2384</v>
      </c>
      <c r="B20" t="s">
        <v>71</v>
      </c>
      <c r="C20" t="s">
        <v>2357</v>
      </c>
      <c r="D20" t="s">
        <v>2383</v>
      </c>
    </row>
    <row r="21" spans="1:4" x14ac:dyDescent="0.25">
      <c r="A21" t="s">
        <v>2385</v>
      </c>
      <c r="B21" t="s">
        <v>70</v>
      </c>
      <c r="C21" t="s">
        <v>2359</v>
      </c>
      <c r="D21" t="s">
        <v>2386</v>
      </c>
    </row>
    <row r="22" spans="1:4" x14ac:dyDescent="0.25">
      <c r="A22" t="s">
        <v>2387</v>
      </c>
      <c r="B22" t="s">
        <v>71</v>
      </c>
      <c r="C22" t="s">
        <v>2357</v>
      </c>
      <c r="D22" t="s">
        <v>2386</v>
      </c>
    </row>
    <row r="23" spans="1:4" x14ac:dyDescent="0.25">
      <c r="A23" t="s">
        <v>2388</v>
      </c>
      <c r="B23" t="s">
        <v>70</v>
      </c>
      <c r="C23" t="s">
        <v>2359</v>
      </c>
      <c r="D23" t="s">
        <v>2389</v>
      </c>
    </row>
    <row r="24" spans="1:4" x14ac:dyDescent="0.25">
      <c r="A24" t="s">
        <v>2390</v>
      </c>
      <c r="B24" t="s">
        <v>70</v>
      </c>
      <c r="C24" t="s">
        <v>2359</v>
      </c>
      <c r="D24" t="s">
        <v>2391</v>
      </c>
    </row>
    <row r="25" spans="1:4" x14ac:dyDescent="0.25">
      <c r="A25" t="s">
        <v>2392</v>
      </c>
      <c r="B25" t="s">
        <v>2393</v>
      </c>
      <c r="C25" t="s">
        <v>2357</v>
      </c>
      <c r="D25" t="s">
        <v>2391</v>
      </c>
    </row>
    <row r="26" spans="1:4" x14ac:dyDescent="0.25">
      <c r="A26" t="s">
        <v>2394</v>
      </c>
      <c r="B26" t="s">
        <v>70</v>
      </c>
      <c r="C26" t="s">
        <v>2359</v>
      </c>
      <c r="D26" t="s">
        <v>2395</v>
      </c>
    </row>
    <row r="27" spans="1:4" x14ac:dyDescent="0.25">
      <c r="A27" t="s">
        <v>2396</v>
      </c>
      <c r="B27" t="s">
        <v>2393</v>
      </c>
      <c r="C27" t="s">
        <v>2357</v>
      </c>
      <c r="D27" t="s">
        <v>2395</v>
      </c>
    </row>
    <row r="28" spans="1:4" x14ac:dyDescent="0.25">
      <c r="A28" t="s">
        <v>2397</v>
      </c>
      <c r="B28" t="s">
        <v>86</v>
      </c>
      <c r="C28" t="s">
        <v>2359</v>
      </c>
      <c r="D28" t="s">
        <v>88</v>
      </c>
    </row>
    <row r="29" spans="1:4" x14ac:dyDescent="0.25">
      <c r="A29" t="s">
        <v>2398</v>
      </c>
      <c r="B29" t="s">
        <v>85</v>
      </c>
      <c r="C29" t="s">
        <v>2399</v>
      </c>
      <c r="D29" t="s">
        <v>88</v>
      </c>
    </row>
    <row r="30" spans="1:4" x14ac:dyDescent="0.25">
      <c r="A30" t="s">
        <v>2400</v>
      </c>
      <c r="B30" t="s">
        <v>87</v>
      </c>
      <c r="C30" t="s">
        <v>2357</v>
      </c>
      <c r="D30" t="s">
        <v>88</v>
      </c>
    </row>
    <row r="31" spans="1:4" x14ac:dyDescent="0.25">
      <c r="A31" t="s">
        <v>2401</v>
      </c>
      <c r="B31" t="s">
        <v>88</v>
      </c>
      <c r="C31" t="s">
        <v>2359</v>
      </c>
      <c r="D31" t="s">
        <v>2402</v>
      </c>
    </row>
    <row r="32" spans="1:4" x14ac:dyDescent="0.25">
      <c r="A32" t="s">
        <v>2403</v>
      </c>
      <c r="B32" t="s">
        <v>85</v>
      </c>
      <c r="C32" t="s">
        <v>2399</v>
      </c>
      <c r="D32" t="s">
        <v>2402</v>
      </c>
    </row>
    <row r="33" spans="1:4" x14ac:dyDescent="0.25">
      <c r="A33" t="s">
        <v>2404</v>
      </c>
      <c r="B33" t="s">
        <v>87</v>
      </c>
      <c r="C33" t="s">
        <v>2357</v>
      </c>
      <c r="D33" t="s">
        <v>2402</v>
      </c>
    </row>
    <row r="34" spans="1:4" x14ac:dyDescent="0.25">
      <c r="A34" t="s">
        <v>2405</v>
      </c>
      <c r="B34" t="s">
        <v>86</v>
      </c>
      <c r="C34" t="s">
        <v>2359</v>
      </c>
      <c r="D34" t="s">
        <v>92</v>
      </c>
    </row>
    <row r="35" spans="1:4" x14ac:dyDescent="0.25">
      <c r="A35" t="s">
        <v>2406</v>
      </c>
      <c r="B35" t="s">
        <v>85</v>
      </c>
      <c r="C35" t="s">
        <v>2399</v>
      </c>
      <c r="D35" t="s">
        <v>92</v>
      </c>
    </row>
    <row r="36" spans="1:4" x14ac:dyDescent="0.25">
      <c r="A36" t="s">
        <v>2407</v>
      </c>
      <c r="B36" t="s">
        <v>91</v>
      </c>
      <c r="C36" t="s">
        <v>2357</v>
      </c>
      <c r="D36" t="s">
        <v>92</v>
      </c>
    </row>
    <row r="37" spans="1:4" x14ac:dyDescent="0.25">
      <c r="A37" t="s">
        <v>2408</v>
      </c>
      <c r="B37" t="s">
        <v>92</v>
      </c>
      <c r="C37" t="s">
        <v>2359</v>
      </c>
      <c r="D37" t="s">
        <v>2409</v>
      </c>
    </row>
    <row r="38" spans="1:4" x14ac:dyDescent="0.25">
      <c r="A38" t="s">
        <v>2410</v>
      </c>
      <c r="B38" t="s">
        <v>85</v>
      </c>
      <c r="C38" t="s">
        <v>2399</v>
      </c>
      <c r="D38" t="s">
        <v>2409</v>
      </c>
    </row>
    <row r="39" spans="1:4" x14ac:dyDescent="0.25">
      <c r="A39" t="s">
        <v>2411</v>
      </c>
      <c r="B39" t="s">
        <v>91</v>
      </c>
      <c r="C39" t="s">
        <v>2357</v>
      </c>
      <c r="D39" t="s">
        <v>2409</v>
      </c>
    </row>
    <row r="40" spans="1:4" x14ac:dyDescent="0.25">
      <c r="A40" t="s">
        <v>2412</v>
      </c>
      <c r="B40" t="s">
        <v>86</v>
      </c>
      <c r="C40" t="s">
        <v>2359</v>
      </c>
      <c r="D40" t="s">
        <v>97</v>
      </c>
    </row>
    <row r="41" spans="1:4" x14ac:dyDescent="0.25">
      <c r="A41" t="s">
        <v>2413</v>
      </c>
      <c r="B41" t="s">
        <v>85</v>
      </c>
      <c r="C41" t="s">
        <v>2399</v>
      </c>
      <c r="D41" t="s">
        <v>97</v>
      </c>
    </row>
    <row r="42" spans="1:4" x14ac:dyDescent="0.25">
      <c r="A42" t="s">
        <v>2414</v>
      </c>
      <c r="B42" t="s">
        <v>95</v>
      </c>
      <c r="C42" t="s">
        <v>2357</v>
      </c>
      <c r="D42" t="s">
        <v>97</v>
      </c>
    </row>
    <row r="43" spans="1:4" x14ac:dyDescent="0.25">
      <c r="A43" t="s">
        <v>2415</v>
      </c>
      <c r="B43" t="s">
        <v>97</v>
      </c>
      <c r="C43" t="s">
        <v>2359</v>
      </c>
      <c r="D43" t="s">
        <v>2416</v>
      </c>
    </row>
    <row r="44" spans="1:4" x14ac:dyDescent="0.25">
      <c r="A44" t="s">
        <v>2417</v>
      </c>
      <c r="B44" t="s">
        <v>85</v>
      </c>
      <c r="C44" t="s">
        <v>2399</v>
      </c>
      <c r="D44" t="s">
        <v>2416</v>
      </c>
    </row>
    <row r="45" spans="1:4" x14ac:dyDescent="0.25">
      <c r="A45" t="s">
        <v>2418</v>
      </c>
      <c r="B45" t="s">
        <v>95</v>
      </c>
      <c r="C45" t="s">
        <v>2357</v>
      </c>
      <c r="D45" t="s">
        <v>2416</v>
      </c>
    </row>
    <row r="46" spans="1:4" x14ac:dyDescent="0.25">
      <c r="A46" t="s">
        <v>2419</v>
      </c>
      <c r="B46" t="s">
        <v>97</v>
      </c>
      <c r="C46" t="s">
        <v>2359</v>
      </c>
      <c r="D46" t="s">
        <v>2420</v>
      </c>
    </row>
    <row r="47" spans="1:4" x14ac:dyDescent="0.25">
      <c r="A47" t="s">
        <v>2421</v>
      </c>
      <c r="B47" t="s">
        <v>85</v>
      </c>
      <c r="C47" t="s">
        <v>2399</v>
      </c>
      <c r="D47" t="s">
        <v>2420</v>
      </c>
    </row>
    <row r="48" spans="1:4" x14ac:dyDescent="0.25">
      <c r="A48" t="s">
        <v>2422</v>
      </c>
      <c r="B48" t="s">
        <v>95</v>
      </c>
      <c r="C48" t="s">
        <v>2357</v>
      </c>
      <c r="D48" t="s">
        <v>2420</v>
      </c>
    </row>
    <row r="49" spans="1:4" x14ac:dyDescent="0.25">
      <c r="A49" t="s">
        <v>2423</v>
      </c>
      <c r="B49" t="s">
        <v>86</v>
      </c>
      <c r="C49" t="s">
        <v>2359</v>
      </c>
      <c r="D49" t="s">
        <v>2424</v>
      </c>
    </row>
    <row r="50" spans="1:4" x14ac:dyDescent="0.25">
      <c r="A50" t="s">
        <v>2425</v>
      </c>
      <c r="B50" t="s">
        <v>85</v>
      </c>
      <c r="C50" t="s">
        <v>2399</v>
      </c>
      <c r="D50" t="s">
        <v>2424</v>
      </c>
    </row>
    <row r="51" spans="1:4" x14ac:dyDescent="0.25">
      <c r="A51" t="s">
        <v>2426</v>
      </c>
      <c r="B51" t="s">
        <v>101</v>
      </c>
      <c r="C51" t="s">
        <v>2357</v>
      </c>
      <c r="D51" t="s">
        <v>2424</v>
      </c>
    </row>
    <row r="52" spans="1:4" x14ac:dyDescent="0.25">
      <c r="A52" t="s">
        <v>2427</v>
      </c>
      <c r="B52" t="s">
        <v>86</v>
      </c>
      <c r="C52" t="s">
        <v>2359</v>
      </c>
      <c r="D52" t="s">
        <v>2428</v>
      </c>
    </row>
    <row r="53" spans="1:4" x14ac:dyDescent="0.25">
      <c r="A53" t="s">
        <v>2429</v>
      </c>
      <c r="B53" t="s">
        <v>85</v>
      </c>
      <c r="C53" t="s">
        <v>2399</v>
      </c>
      <c r="D53" t="s">
        <v>2428</v>
      </c>
    </row>
    <row r="54" spans="1:4" x14ac:dyDescent="0.25">
      <c r="A54" t="s">
        <v>2430</v>
      </c>
      <c r="B54" t="s">
        <v>101</v>
      </c>
      <c r="C54" t="s">
        <v>2357</v>
      </c>
      <c r="D54" t="s">
        <v>2428</v>
      </c>
    </row>
    <row r="55" spans="1:4" x14ac:dyDescent="0.25">
      <c r="A55" t="s">
        <v>2431</v>
      </c>
      <c r="B55" t="s">
        <v>86</v>
      </c>
      <c r="C55" t="s">
        <v>2359</v>
      </c>
      <c r="D55" t="s">
        <v>105</v>
      </c>
    </row>
    <row r="56" spans="1:4" x14ac:dyDescent="0.25">
      <c r="A56" t="s">
        <v>2432</v>
      </c>
      <c r="B56" t="s">
        <v>85</v>
      </c>
      <c r="C56" t="s">
        <v>2399</v>
      </c>
      <c r="D56" t="s">
        <v>105</v>
      </c>
    </row>
    <row r="57" spans="1:4" x14ac:dyDescent="0.25">
      <c r="A57" t="s">
        <v>2433</v>
      </c>
      <c r="B57" t="s">
        <v>105</v>
      </c>
      <c r="C57" t="s">
        <v>2359</v>
      </c>
      <c r="D57" t="s">
        <v>106</v>
      </c>
    </row>
    <row r="58" spans="1:4" x14ac:dyDescent="0.25">
      <c r="A58" t="s">
        <v>2434</v>
      </c>
      <c r="B58" t="s">
        <v>85</v>
      </c>
      <c r="C58" t="s">
        <v>2399</v>
      </c>
      <c r="D58" t="s">
        <v>106</v>
      </c>
    </row>
    <row r="59" spans="1:4" x14ac:dyDescent="0.25">
      <c r="A59" t="s">
        <v>2435</v>
      </c>
      <c r="B59" t="s">
        <v>2436</v>
      </c>
      <c r="C59" t="s">
        <v>2357</v>
      </c>
      <c r="D59" t="s">
        <v>106</v>
      </c>
    </row>
    <row r="60" spans="1:4" x14ac:dyDescent="0.25">
      <c r="A60" t="s">
        <v>2437</v>
      </c>
      <c r="B60" t="s">
        <v>106</v>
      </c>
      <c r="C60" t="s">
        <v>2359</v>
      </c>
      <c r="D60" t="s">
        <v>2438</v>
      </c>
    </row>
    <row r="61" spans="1:4" x14ac:dyDescent="0.25">
      <c r="A61" t="s">
        <v>2439</v>
      </c>
      <c r="B61" t="s">
        <v>85</v>
      </c>
      <c r="C61" t="s">
        <v>2399</v>
      </c>
      <c r="D61" t="s">
        <v>2438</v>
      </c>
    </row>
    <row r="62" spans="1:4" x14ac:dyDescent="0.25">
      <c r="A62" t="s">
        <v>2440</v>
      </c>
      <c r="B62" t="s">
        <v>2436</v>
      </c>
      <c r="C62" t="s">
        <v>2357</v>
      </c>
      <c r="D62" t="s">
        <v>2438</v>
      </c>
    </row>
    <row r="63" spans="1:4" x14ac:dyDescent="0.25">
      <c r="A63" t="s">
        <v>2441</v>
      </c>
      <c r="B63" t="s">
        <v>105</v>
      </c>
      <c r="C63" t="s">
        <v>2359</v>
      </c>
      <c r="D63" t="s">
        <v>108</v>
      </c>
    </row>
    <row r="64" spans="1:4" x14ac:dyDescent="0.25">
      <c r="A64" t="s">
        <v>2442</v>
      </c>
      <c r="B64" t="s">
        <v>85</v>
      </c>
      <c r="C64" t="s">
        <v>2399</v>
      </c>
      <c r="D64" t="s">
        <v>108</v>
      </c>
    </row>
    <row r="65" spans="1:4" x14ac:dyDescent="0.25">
      <c r="A65" t="s">
        <v>2443</v>
      </c>
      <c r="B65" t="s">
        <v>2444</v>
      </c>
      <c r="C65" t="s">
        <v>2357</v>
      </c>
      <c r="D65" t="s">
        <v>108</v>
      </c>
    </row>
    <row r="66" spans="1:4" x14ac:dyDescent="0.25">
      <c r="A66" t="s">
        <v>2445</v>
      </c>
      <c r="B66" t="s">
        <v>108</v>
      </c>
      <c r="C66" t="s">
        <v>2359</v>
      </c>
      <c r="D66" t="s">
        <v>2446</v>
      </c>
    </row>
    <row r="67" spans="1:4" x14ac:dyDescent="0.25">
      <c r="A67" t="s">
        <v>2447</v>
      </c>
      <c r="B67" t="s">
        <v>85</v>
      </c>
      <c r="C67" t="s">
        <v>2399</v>
      </c>
      <c r="D67" t="s">
        <v>2446</v>
      </c>
    </row>
    <row r="68" spans="1:4" x14ac:dyDescent="0.25">
      <c r="A68" t="s">
        <v>2448</v>
      </c>
      <c r="B68" t="s">
        <v>2444</v>
      </c>
      <c r="C68" t="s">
        <v>2357</v>
      </c>
      <c r="D68" t="s">
        <v>2446</v>
      </c>
    </row>
    <row r="69" spans="1:4" x14ac:dyDescent="0.25">
      <c r="A69" t="s">
        <v>2449</v>
      </c>
      <c r="B69" t="s">
        <v>105</v>
      </c>
      <c r="C69" t="s">
        <v>2359</v>
      </c>
      <c r="D69" t="s">
        <v>110</v>
      </c>
    </row>
    <row r="70" spans="1:4" x14ac:dyDescent="0.25">
      <c r="A70" t="s">
        <v>2450</v>
      </c>
      <c r="B70" t="s">
        <v>85</v>
      </c>
      <c r="C70" t="s">
        <v>2399</v>
      </c>
      <c r="D70" t="s">
        <v>110</v>
      </c>
    </row>
    <row r="71" spans="1:4" x14ac:dyDescent="0.25">
      <c r="A71" t="s">
        <v>2451</v>
      </c>
      <c r="B71" t="s">
        <v>2452</v>
      </c>
      <c r="C71" t="s">
        <v>2357</v>
      </c>
      <c r="D71" t="s">
        <v>110</v>
      </c>
    </row>
    <row r="72" spans="1:4" x14ac:dyDescent="0.25">
      <c r="A72" t="s">
        <v>2453</v>
      </c>
      <c r="B72" t="s">
        <v>110</v>
      </c>
      <c r="C72" t="s">
        <v>2359</v>
      </c>
      <c r="D72" t="s">
        <v>2454</v>
      </c>
    </row>
    <row r="73" spans="1:4" x14ac:dyDescent="0.25">
      <c r="A73" t="s">
        <v>2455</v>
      </c>
      <c r="B73" t="s">
        <v>85</v>
      </c>
      <c r="C73" t="s">
        <v>2399</v>
      </c>
      <c r="D73" t="s">
        <v>2454</v>
      </c>
    </row>
    <row r="74" spans="1:4" x14ac:dyDescent="0.25">
      <c r="A74" t="s">
        <v>2456</v>
      </c>
      <c r="B74" t="s">
        <v>2452</v>
      </c>
      <c r="C74" t="s">
        <v>2357</v>
      </c>
      <c r="D74" t="s">
        <v>2454</v>
      </c>
    </row>
    <row r="75" spans="1:4" x14ac:dyDescent="0.25">
      <c r="A75" t="s">
        <v>2457</v>
      </c>
      <c r="B75" t="s">
        <v>86</v>
      </c>
      <c r="C75" t="s">
        <v>2359</v>
      </c>
      <c r="D75" t="s">
        <v>115</v>
      </c>
    </row>
    <row r="76" spans="1:4" x14ac:dyDescent="0.25">
      <c r="A76" t="s">
        <v>2458</v>
      </c>
      <c r="B76" t="s">
        <v>85</v>
      </c>
      <c r="C76" t="s">
        <v>2399</v>
      </c>
      <c r="D76" t="s">
        <v>115</v>
      </c>
    </row>
    <row r="77" spans="1:4" x14ac:dyDescent="0.25">
      <c r="A77" t="s">
        <v>2459</v>
      </c>
      <c r="B77" t="s">
        <v>114</v>
      </c>
      <c r="C77" t="s">
        <v>2357</v>
      </c>
      <c r="D77" t="s">
        <v>115</v>
      </c>
    </row>
    <row r="78" spans="1:4" x14ac:dyDescent="0.25">
      <c r="A78" t="s">
        <v>2460</v>
      </c>
      <c r="B78" t="s">
        <v>115</v>
      </c>
      <c r="C78" t="s">
        <v>2359</v>
      </c>
      <c r="D78" t="s">
        <v>2461</v>
      </c>
    </row>
    <row r="79" spans="1:4" x14ac:dyDescent="0.25">
      <c r="A79" t="s">
        <v>2462</v>
      </c>
      <c r="B79" t="s">
        <v>85</v>
      </c>
      <c r="C79" t="s">
        <v>2399</v>
      </c>
      <c r="D79" t="s">
        <v>2461</v>
      </c>
    </row>
    <row r="80" spans="1:4" x14ac:dyDescent="0.25">
      <c r="A80" t="s">
        <v>2463</v>
      </c>
      <c r="B80" t="s">
        <v>114</v>
      </c>
      <c r="C80" t="s">
        <v>2357</v>
      </c>
      <c r="D80" t="s">
        <v>2461</v>
      </c>
    </row>
    <row r="81" spans="1:4" x14ac:dyDescent="0.25">
      <c r="A81" t="s">
        <v>2464</v>
      </c>
      <c r="B81" t="s">
        <v>86</v>
      </c>
      <c r="C81" t="s">
        <v>2359</v>
      </c>
      <c r="D81" t="s">
        <v>2465</v>
      </c>
    </row>
    <row r="82" spans="1:4" x14ac:dyDescent="0.25">
      <c r="A82" t="s">
        <v>2466</v>
      </c>
      <c r="B82" t="s">
        <v>85</v>
      </c>
      <c r="C82" t="s">
        <v>2399</v>
      </c>
      <c r="D82" t="s">
        <v>2465</v>
      </c>
    </row>
    <row r="83" spans="1:4" x14ac:dyDescent="0.25">
      <c r="A83" t="s">
        <v>2467</v>
      </c>
      <c r="B83" t="s">
        <v>86</v>
      </c>
      <c r="C83" t="s">
        <v>2359</v>
      </c>
      <c r="D83" t="s">
        <v>2468</v>
      </c>
    </row>
    <row r="84" spans="1:4" x14ac:dyDescent="0.25">
      <c r="A84" t="s">
        <v>2469</v>
      </c>
      <c r="B84" t="s">
        <v>85</v>
      </c>
      <c r="C84" t="s">
        <v>2399</v>
      </c>
      <c r="D84" t="s">
        <v>2468</v>
      </c>
    </row>
    <row r="85" spans="1:4" x14ac:dyDescent="0.25">
      <c r="A85" t="s">
        <v>2470</v>
      </c>
      <c r="B85" t="s">
        <v>86</v>
      </c>
      <c r="C85" t="s">
        <v>2359</v>
      </c>
      <c r="D85" t="s">
        <v>2471</v>
      </c>
    </row>
    <row r="86" spans="1:4" x14ac:dyDescent="0.25">
      <c r="A86" t="s">
        <v>2472</v>
      </c>
      <c r="B86" t="s">
        <v>85</v>
      </c>
      <c r="C86" t="s">
        <v>2399</v>
      </c>
      <c r="D86" t="s">
        <v>2471</v>
      </c>
    </row>
    <row r="87" spans="1:4" x14ac:dyDescent="0.25">
      <c r="A87" t="s">
        <v>2473</v>
      </c>
      <c r="B87" t="s">
        <v>2474</v>
      </c>
      <c r="C87" t="s">
        <v>2475</v>
      </c>
      <c r="D87" t="s">
        <v>2476</v>
      </c>
    </row>
    <row r="88" spans="1:4" x14ac:dyDescent="0.25">
      <c r="A88" t="s">
        <v>2477</v>
      </c>
      <c r="B88" t="s">
        <v>2478</v>
      </c>
      <c r="C88" t="s">
        <v>2475</v>
      </c>
      <c r="D88" t="s">
        <v>2479</v>
      </c>
    </row>
    <row r="89" spans="1:4" x14ac:dyDescent="0.25">
      <c r="A89" t="s">
        <v>2480</v>
      </c>
      <c r="B89" t="s">
        <v>2481</v>
      </c>
      <c r="C89" t="s">
        <v>2475</v>
      </c>
      <c r="D89" t="s">
        <v>2482</v>
      </c>
    </row>
    <row r="90" spans="1:4" x14ac:dyDescent="0.25">
      <c r="A90" t="s">
        <v>2483</v>
      </c>
      <c r="B90" t="s">
        <v>2481</v>
      </c>
      <c r="C90" t="s">
        <v>2475</v>
      </c>
      <c r="D90" t="s">
        <v>2484</v>
      </c>
    </row>
    <row r="91" spans="1:4" x14ac:dyDescent="0.25">
      <c r="A91" t="s">
        <v>2485</v>
      </c>
      <c r="B91" t="s">
        <v>2482</v>
      </c>
      <c r="C91" t="s">
        <v>2475</v>
      </c>
      <c r="D91" t="s">
        <v>2484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selection activeCell="U42" sqref="U42:U43"/>
    </sheetView>
  </sheetViews>
  <sheetFormatPr defaultRowHeight="15" x14ac:dyDescent="0.25"/>
  <cols>
    <col min="1" max="1" width="16" bestFit="1" customWidth="1"/>
    <col min="2" max="2" width="22" bestFit="1" customWidth="1"/>
    <col min="3" max="3" width="18" bestFit="1" customWidth="1"/>
    <col min="4" max="4" width="22" bestFit="1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2486</v>
      </c>
      <c r="B2" t="s">
        <v>85</v>
      </c>
      <c r="C2" t="s">
        <v>2359</v>
      </c>
      <c r="D2" t="s">
        <v>123</v>
      </c>
    </row>
    <row r="3" spans="1:4" x14ac:dyDescent="0.25">
      <c r="A3" t="s">
        <v>2487</v>
      </c>
      <c r="B3" t="s">
        <v>51</v>
      </c>
      <c r="C3" t="s">
        <v>2357</v>
      </c>
      <c r="D3" t="s">
        <v>123</v>
      </c>
    </row>
    <row r="4" spans="1:4" x14ac:dyDescent="0.25">
      <c r="A4" t="s">
        <v>2488</v>
      </c>
      <c r="B4" t="s">
        <v>123</v>
      </c>
      <c r="C4" t="s">
        <v>2359</v>
      </c>
      <c r="D4" t="s">
        <v>127</v>
      </c>
    </row>
    <row r="5" spans="1:4" x14ac:dyDescent="0.25">
      <c r="A5" t="s">
        <v>2489</v>
      </c>
      <c r="B5" t="s">
        <v>51</v>
      </c>
      <c r="C5" t="s">
        <v>2357</v>
      </c>
      <c r="D5" t="s">
        <v>127</v>
      </c>
    </row>
    <row r="6" spans="1:4" x14ac:dyDescent="0.25">
      <c r="A6" t="s">
        <v>2490</v>
      </c>
      <c r="B6" t="s">
        <v>132</v>
      </c>
      <c r="C6" t="s">
        <v>2359</v>
      </c>
      <c r="D6" t="s">
        <v>128</v>
      </c>
    </row>
    <row r="7" spans="1:4" x14ac:dyDescent="0.25">
      <c r="A7" t="s">
        <v>2491</v>
      </c>
      <c r="B7" t="s">
        <v>131</v>
      </c>
      <c r="C7" t="s">
        <v>2399</v>
      </c>
      <c r="D7" t="s">
        <v>128</v>
      </c>
    </row>
    <row r="8" spans="1:4" x14ac:dyDescent="0.25">
      <c r="A8" t="s">
        <v>2492</v>
      </c>
      <c r="B8" t="s">
        <v>133</v>
      </c>
      <c r="C8" t="s">
        <v>2357</v>
      </c>
      <c r="D8" t="s">
        <v>128</v>
      </c>
    </row>
    <row r="9" spans="1:4" x14ac:dyDescent="0.25">
      <c r="A9" t="s">
        <v>2493</v>
      </c>
      <c r="B9" t="s">
        <v>132</v>
      </c>
      <c r="C9" t="s">
        <v>2359</v>
      </c>
      <c r="D9" t="s">
        <v>134</v>
      </c>
    </row>
    <row r="10" spans="1:4" x14ac:dyDescent="0.25">
      <c r="A10" t="s">
        <v>2494</v>
      </c>
      <c r="B10" t="s">
        <v>131</v>
      </c>
      <c r="C10" t="s">
        <v>2399</v>
      </c>
      <c r="D10" t="s">
        <v>134</v>
      </c>
    </row>
    <row r="11" spans="1:4" x14ac:dyDescent="0.25">
      <c r="A11" t="s">
        <v>2495</v>
      </c>
      <c r="B11" t="s">
        <v>133</v>
      </c>
      <c r="C11" t="s">
        <v>2357</v>
      </c>
      <c r="D11" t="s">
        <v>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25"/>
  <sheetViews>
    <sheetView workbookViewId="0">
      <selection activeCell="O54" sqref="O54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22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2496</v>
      </c>
      <c r="B2" t="s">
        <v>127</v>
      </c>
      <c r="C2" t="s">
        <v>2359</v>
      </c>
      <c r="D2" t="s">
        <v>140</v>
      </c>
    </row>
    <row r="3" spans="1:4" x14ac:dyDescent="0.25">
      <c r="A3" t="s">
        <v>2497</v>
      </c>
      <c r="B3" t="s">
        <v>139</v>
      </c>
      <c r="C3" t="s">
        <v>2357</v>
      </c>
      <c r="D3" t="s">
        <v>140</v>
      </c>
    </row>
    <row r="4" spans="1:4" x14ac:dyDescent="0.25">
      <c r="A4" t="s">
        <v>2498</v>
      </c>
      <c r="B4" t="s">
        <v>140</v>
      </c>
      <c r="C4" t="s">
        <v>2359</v>
      </c>
      <c r="D4" t="s">
        <v>143</v>
      </c>
    </row>
    <row r="5" spans="1:4" x14ac:dyDescent="0.25">
      <c r="A5" t="s">
        <v>2499</v>
      </c>
      <c r="B5" t="s">
        <v>139</v>
      </c>
      <c r="C5" t="s">
        <v>2357</v>
      </c>
      <c r="D5" t="s">
        <v>143</v>
      </c>
    </row>
    <row r="6" spans="1:4" x14ac:dyDescent="0.25">
      <c r="A6" t="s">
        <v>2500</v>
      </c>
      <c r="B6" t="s">
        <v>143</v>
      </c>
      <c r="C6" t="s">
        <v>2359</v>
      </c>
      <c r="D6" t="s">
        <v>146</v>
      </c>
    </row>
    <row r="7" spans="1:4" x14ac:dyDescent="0.25">
      <c r="A7" t="s">
        <v>2501</v>
      </c>
      <c r="B7" t="s">
        <v>144</v>
      </c>
      <c r="C7" t="s">
        <v>2357</v>
      </c>
      <c r="D7" t="s">
        <v>146</v>
      </c>
    </row>
    <row r="8" spans="1:4" x14ac:dyDescent="0.25">
      <c r="A8" t="s">
        <v>2502</v>
      </c>
      <c r="B8" t="s">
        <v>146</v>
      </c>
      <c r="C8" t="s">
        <v>2359</v>
      </c>
      <c r="D8" t="s">
        <v>2503</v>
      </c>
    </row>
    <row r="9" spans="1:4" x14ac:dyDescent="0.25">
      <c r="A9" t="s">
        <v>2504</v>
      </c>
      <c r="B9" t="s">
        <v>144</v>
      </c>
      <c r="C9" t="s">
        <v>2357</v>
      </c>
      <c r="D9" t="s">
        <v>2503</v>
      </c>
    </row>
    <row r="10" spans="1:4" x14ac:dyDescent="0.25">
      <c r="A10" t="s">
        <v>2505</v>
      </c>
      <c r="B10" t="s">
        <v>146</v>
      </c>
      <c r="C10" t="s">
        <v>2359</v>
      </c>
      <c r="D10" t="s">
        <v>2506</v>
      </c>
    </row>
    <row r="11" spans="1:4" x14ac:dyDescent="0.25">
      <c r="A11" t="s">
        <v>2507</v>
      </c>
      <c r="B11" t="s">
        <v>144</v>
      </c>
      <c r="C11" t="s">
        <v>2357</v>
      </c>
      <c r="D11" t="s">
        <v>2506</v>
      </c>
    </row>
    <row r="12" spans="1:4" x14ac:dyDescent="0.25">
      <c r="A12" t="s">
        <v>2508</v>
      </c>
      <c r="B12" t="s">
        <v>2503</v>
      </c>
      <c r="C12" t="s">
        <v>2366</v>
      </c>
      <c r="D12" t="s">
        <v>153</v>
      </c>
    </row>
    <row r="13" spans="1:4" x14ac:dyDescent="0.25">
      <c r="A13" t="s">
        <v>2509</v>
      </c>
      <c r="B13" t="s">
        <v>2506</v>
      </c>
      <c r="C13" t="s">
        <v>2366</v>
      </c>
      <c r="D13" t="s">
        <v>153</v>
      </c>
    </row>
    <row r="14" spans="1:4" x14ac:dyDescent="0.25">
      <c r="A14" t="s">
        <v>2510</v>
      </c>
      <c r="B14" t="s">
        <v>144</v>
      </c>
      <c r="C14" t="s">
        <v>2357</v>
      </c>
      <c r="D14" t="s">
        <v>153</v>
      </c>
    </row>
    <row r="15" spans="1:4" x14ac:dyDescent="0.25">
      <c r="A15" t="s">
        <v>2511</v>
      </c>
      <c r="B15" t="s">
        <v>153</v>
      </c>
      <c r="C15" t="s">
        <v>2359</v>
      </c>
      <c r="D15" t="s">
        <v>155</v>
      </c>
    </row>
    <row r="16" spans="1:4" x14ac:dyDescent="0.25">
      <c r="A16" t="s">
        <v>2512</v>
      </c>
      <c r="B16" t="s">
        <v>144</v>
      </c>
      <c r="C16" t="s">
        <v>2357</v>
      </c>
      <c r="D16" t="s">
        <v>155</v>
      </c>
    </row>
    <row r="17" spans="1:4" x14ac:dyDescent="0.25">
      <c r="A17" t="s">
        <v>2513</v>
      </c>
      <c r="B17" t="s">
        <v>155</v>
      </c>
      <c r="C17" t="s">
        <v>2359</v>
      </c>
      <c r="D17" t="s">
        <v>185</v>
      </c>
    </row>
    <row r="18" spans="1:4" x14ac:dyDescent="0.25">
      <c r="A18" t="s">
        <v>2514</v>
      </c>
      <c r="B18" t="s">
        <v>144</v>
      </c>
      <c r="C18" t="s">
        <v>2357</v>
      </c>
      <c r="D18" t="s">
        <v>185</v>
      </c>
    </row>
    <row r="19" spans="1:4" x14ac:dyDescent="0.25">
      <c r="A19" t="s">
        <v>2515</v>
      </c>
      <c r="B19" t="s">
        <v>157</v>
      </c>
      <c r="C19" t="s">
        <v>2359</v>
      </c>
      <c r="D19" t="s">
        <v>160</v>
      </c>
    </row>
    <row r="20" spans="1:4" x14ac:dyDescent="0.25">
      <c r="A20" t="s">
        <v>2516</v>
      </c>
      <c r="B20" t="s">
        <v>144</v>
      </c>
      <c r="C20" t="s">
        <v>2357</v>
      </c>
      <c r="D20" t="s">
        <v>160</v>
      </c>
    </row>
    <row r="21" spans="1:4" x14ac:dyDescent="0.25">
      <c r="A21" t="s">
        <v>2517</v>
      </c>
      <c r="B21" t="s">
        <v>160</v>
      </c>
      <c r="C21" t="s">
        <v>2359</v>
      </c>
      <c r="D21" t="s">
        <v>2518</v>
      </c>
    </row>
    <row r="22" spans="1:4" x14ac:dyDescent="0.25">
      <c r="A22" t="s">
        <v>2519</v>
      </c>
      <c r="B22" t="s">
        <v>161</v>
      </c>
      <c r="C22" t="s">
        <v>2357</v>
      </c>
      <c r="D22" t="s">
        <v>2518</v>
      </c>
    </row>
    <row r="23" spans="1:4" x14ac:dyDescent="0.25">
      <c r="A23" t="s">
        <v>2520</v>
      </c>
      <c r="B23" t="s">
        <v>160</v>
      </c>
      <c r="C23" t="s">
        <v>2359</v>
      </c>
      <c r="D23" t="s">
        <v>2521</v>
      </c>
    </row>
    <row r="24" spans="1:4" x14ac:dyDescent="0.25">
      <c r="A24" t="s">
        <v>2522</v>
      </c>
      <c r="B24" t="s">
        <v>161</v>
      </c>
      <c r="C24" t="s">
        <v>2357</v>
      </c>
      <c r="D24" t="s">
        <v>2521</v>
      </c>
    </row>
    <row r="25" spans="1:4" x14ac:dyDescent="0.25">
      <c r="A25" t="s">
        <v>2523</v>
      </c>
      <c r="B25" t="s">
        <v>167</v>
      </c>
      <c r="C25" t="s">
        <v>2359</v>
      </c>
      <c r="D25" t="s">
        <v>169</v>
      </c>
    </row>
    <row r="26" spans="1:4" x14ac:dyDescent="0.25">
      <c r="A26" t="s">
        <v>2524</v>
      </c>
      <c r="B26" t="s">
        <v>161</v>
      </c>
      <c r="C26" t="s">
        <v>2357</v>
      </c>
      <c r="D26" t="s">
        <v>169</v>
      </c>
    </row>
    <row r="27" spans="1:4" x14ac:dyDescent="0.25">
      <c r="A27" t="s">
        <v>2525</v>
      </c>
      <c r="B27" t="s">
        <v>169</v>
      </c>
      <c r="C27" t="s">
        <v>2359</v>
      </c>
      <c r="D27" t="s">
        <v>173</v>
      </c>
    </row>
    <row r="28" spans="1:4" x14ac:dyDescent="0.25">
      <c r="A28" t="s">
        <v>2526</v>
      </c>
      <c r="B28" t="s">
        <v>170</v>
      </c>
      <c r="C28" t="s">
        <v>2357</v>
      </c>
      <c r="D28" t="s">
        <v>173</v>
      </c>
    </row>
    <row r="29" spans="1:4" x14ac:dyDescent="0.25">
      <c r="A29" t="s">
        <v>2527</v>
      </c>
      <c r="B29" t="s">
        <v>173</v>
      </c>
      <c r="C29" t="s">
        <v>2359</v>
      </c>
      <c r="D29" t="s">
        <v>2528</v>
      </c>
    </row>
    <row r="30" spans="1:4" x14ac:dyDescent="0.25">
      <c r="A30" t="s">
        <v>2529</v>
      </c>
      <c r="B30" t="s">
        <v>170</v>
      </c>
      <c r="C30" t="s">
        <v>2357</v>
      </c>
      <c r="D30" t="s">
        <v>2528</v>
      </c>
    </row>
    <row r="31" spans="1:4" x14ac:dyDescent="0.25">
      <c r="A31" t="s">
        <v>2530</v>
      </c>
      <c r="B31" t="s">
        <v>173</v>
      </c>
      <c r="C31" t="s">
        <v>2359</v>
      </c>
      <c r="D31" t="s">
        <v>2531</v>
      </c>
    </row>
    <row r="32" spans="1:4" x14ac:dyDescent="0.25">
      <c r="A32" t="s">
        <v>2532</v>
      </c>
      <c r="B32" t="s">
        <v>170</v>
      </c>
      <c r="C32" t="s">
        <v>2357</v>
      </c>
      <c r="D32" t="s">
        <v>2531</v>
      </c>
    </row>
    <row r="33" spans="1:4" x14ac:dyDescent="0.25">
      <c r="A33" t="s">
        <v>2533</v>
      </c>
      <c r="B33" t="s">
        <v>2528</v>
      </c>
      <c r="C33" t="s">
        <v>2366</v>
      </c>
      <c r="D33" t="s">
        <v>179</v>
      </c>
    </row>
    <row r="34" spans="1:4" x14ac:dyDescent="0.25">
      <c r="A34" t="s">
        <v>2534</v>
      </c>
      <c r="B34" t="s">
        <v>2531</v>
      </c>
      <c r="C34" t="s">
        <v>2366</v>
      </c>
      <c r="D34" t="s">
        <v>179</v>
      </c>
    </row>
    <row r="35" spans="1:4" x14ac:dyDescent="0.25">
      <c r="A35" t="s">
        <v>2535</v>
      </c>
      <c r="B35" t="s">
        <v>170</v>
      </c>
      <c r="C35" t="s">
        <v>2357</v>
      </c>
      <c r="D35" t="s">
        <v>179</v>
      </c>
    </row>
    <row r="36" spans="1:4" x14ac:dyDescent="0.25">
      <c r="A36" t="s">
        <v>2536</v>
      </c>
      <c r="B36" t="s">
        <v>179</v>
      </c>
      <c r="C36" t="s">
        <v>2359</v>
      </c>
      <c r="D36" t="s">
        <v>2537</v>
      </c>
    </row>
    <row r="37" spans="1:4" x14ac:dyDescent="0.25">
      <c r="A37" t="s">
        <v>2538</v>
      </c>
      <c r="B37" t="s">
        <v>181</v>
      </c>
      <c r="C37" t="s">
        <v>2359</v>
      </c>
      <c r="D37" t="s">
        <v>195</v>
      </c>
    </row>
    <row r="38" spans="1:4" x14ac:dyDescent="0.25">
      <c r="A38" t="s">
        <v>2539</v>
      </c>
      <c r="B38" t="s">
        <v>182</v>
      </c>
      <c r="C38" t="s">
        <v>2359</v>
      </c>
      <c r="D38" t="s">
        <v>505</v>
      </c>
    </row>
    <row r="39" spans="1:4" x14ac:dyDescent="0.25">
      <c r="A39" t="s">
        <v>2540</v>
      </c>
      <c r="B39" t="s">
        <v>185</v>
      </c>
      <c r="C39" t="s">
        <v>2359</v>
      </c>
      <c r="D39" t="s">
        <v>187</v>
      </c>
    </row>
    <row r="40" spans="1:4" x14ac:dyDescent="0.25">
      <c r="A40" t="s">
        <v>2541</v>
      </c>
      <c r="B40" t="s">
        <v>186</v>
      </c>
      <c r="C40" t="s">
        <v>2357</v>
      </c>
      <c r="D40" t="s">
        <v>187</v>
      </c>
    </row>
    <row r="41" spans="1:4" x14ac:dyDescent="0.25">
      <c r="A41" t="s">
        <v>2542</v>
      </c>
      <c r="B41" t="s">
        <v>187</v>
      </c>
      <c r="C41" t="s">
        <v>2359</v>
      </c>
      <c r="D41" t="s">
        <v>157</v>
      </c>
    </row>
    <row r="42" spans="1:4" x14ac:dyDescent="0.25">
      <c r="A42" t="s">
        <v>2543</v>
      </c>
      <c r="B42" t="s">
        <v>186</v>
      </c>
      <c r="C42" t="s">
        <v>2357</v>
      </c>
      <c r="D42" t="s">
        <v>157</v>
      </c>
    </row>
    <row r="43" spans="1:4" x14ac:dyDescent="0.25">
      <c r="A43" t="s">
        <v>2544</v>
      </c>
      <c r="B43" t="s">
        <v>2518</v>
      </c>
      <c r="C43" t="s">
        <v>2366</v>
      </c>
      <c r="D43" t="s">
        <v>192</v>
      </c>
    </row>
    <row r="44" spans="1:4" x14ac:dyDescent="0.25">
      <c r="A44" t="s">
        <v>2545</v>
      </c>
      <c r="B44" t="s">
        <v>2521</v>
      </c>
      <c r="C44" t="s">
        <v>2366</v>
      </c>
      <c r="D44" t="s">
        <v>192</v>
      </c>
    </row>
    <row r="45" spans="1:4" x14ac:dyDescent="0.25">
      <c r="A45" t="s">
        <v>2546</v>
      </c>
      <c r="B45" t="s">
        <v>191</v>
      </c>
      <c r="C45" t="s">
        <v>2357</v>
      </c>
      <c r="D45" t="s">
        <v>192</v>
      </c>
    </row>
    <row r="46" spans="1:4" x14ac:dyDescent="0.25">
      <c r="A46" t="s">
        <v>2547</v>
      </c>
      <c r="B46" t="s">
        <v>192</v>
      </c>
      <c r="C46" t="s">
        <v>2359</v>
      </c>
      <c r="D46" t="s">
        <v>167</v>
      </c>
    </row>
    <row r="47" spans="1:4" x14ac:dyDescent="0.25">
      <c r="A47" t="s">
        <v>2548</v>
      </c>
      <c r="B47" t="s">
        <v>191</v>
      </c>
      <c r="C47" t="s">
        <v>2357</v>
      </c>
      <c r="D47" t="s">
        <v>167</v>
      </c>
    </row>
    <row r="48" spans="1:4" x14ac:dyDescent="0.25">
      <c r="A48" t="s">
        <v>2549</v>
      </c>
      <c r="B48" t="s">
        <v>195</v>
      </c>
      <c r="C48" t="s">
        <v>2359</v>
      </c>
      <c r="D48" t="s">
        <v>197</v>
      </c>
    </row>
    <row r="49" spans="1:4" x14ac:dyDescent="0.25">
      <c r="A49" t="s">
        <v>2550</v>
      </c>
      <c r="B49" t="s">
        <v>196</v>
      </c>
      <c r="C49" t="s">
        <v>2357</v>
      </c>
      <c r="D49" t="s">
        <v>197</v>
      </c>
    </row>
    <row r="50" spans="1:4" x14ac:dyDescent="0.25">
      <c r="A50" t="s">
        <v>2551</v>
      </c>
      <c r="B50" t="s">
        <v>197</v>
      </c>
      <c r="C50" t="s">
        <v>2359</v>
      </c>
      <c r="D50" t="s">
        <v>2552</v>
      </c>
    </row>
    <row r="51" spans="1:4" x14ac:dyDescent="0.25">
      <c r="A51" t="s">
        <v>2553</v>
      </c>
      <c r="B51" t="s">
        <v>196</v>
      </c>
      <c r="C51" t="s">
        <v>2357</v>
      </c>
      <c r="D51" t="s">
        <v>2552</v>
      </c>
    </row>
    <row r="52" spans="1:4" x14ac:dyDescent="0.25">
      <c r="A52" t="s">
        <v>2554</v>
      </c>
      <c r="B52" t="s">
        <v>143</v>
      </c>
      <c r="C52" t="s">
        <v>2359</v>
      </c>
      <c r="D52" t="s">
        <v>202</v>
      </c>
    </row>
    <row r="53" spans="1:4" x14ac:dyDescent="0.25">
      <c r="A53" t="s">
        <v>2555</v>
      </c>
      <c r="B53" t="s">
        <v>200</v>
      </c>
      <c r="C53" t="s">
        <v>2357</v>
      </c>
      <c r="D53" t="s">
        <v>202</v>
      </c>
    </row>
    <row r="54" spans="1:4" x14ac:dyDescent="0.25">
      <c r="A54" t="s">
        <v>2556</v>
      </c>
      <c r="B54" t="s">
        <v>202</v>
      </c>
      <c r="C54" t="s">
        <v>2359</v>
      </c>
      <c r="D54" t="s">
        <v>2557</v>
      </c>
    </row>
    <row r="55" spans="1:4" x14ac:dyDescent="0.25">
      <c r="A55" t="s">
        <v>2558</v>
      </c>
      <c r="B55" t="s">
        <v>200</v>
      </c>
      <c r="C55" t="s">
        <v>2357</v>
      </c>
      <c r="D55" t="s">
        <v>2557</v>
      </c>
    </row>
    <row r="56" spans="1:4" x14ac:dyDescent="0.25">
      <c r="A56" t="s">
        <v>2559</v>
      </c>
      <c r="B56" t="s">
        <v>202</v>
      </c>
      <c r="C56" t="s">
        <v>2359</v>
      </c>
      <c r="D56" t="s">
        <v>2560</v>
      </c>
    </row>
    <row r="57" spans="1:4" x14ac:dyDescent="0.25">
      <c r="A57" t="s">
        <v>2561</v>
      </c>
      <c r="B57" t="s">
        <v>200</v>
      </c>
      <c r="C57" t="s">
        <v>2357</v>
      </c>
      <c r="D57" t="s">
        <v>2560</v>
      </c>
    </row>
    <row r="58" spans="1:4" x14ac:dyDescent="0.25">
      <c r="A58" t="s">
        <v>2562</v>
      </c>
      <c r="B58" t="s">
        <v>202</v>
      </c>
      <c r="C58" t="s">
        <v>2359</v>
      </c>
      <c r="D58" t="s">
        <v>2563</v>
      </c>
    </row>
    <row r="59" spans="1:4" x14ac:dyDescent="0.25">
      <c r="A59" t="s">
        <v>2564</v>
      </c>
      <c r="B59" t="s">
        <v>200</v>
      </c>
      <c r="C59" t="s">
        <v>2357</v>
      </c>
      <c r="D59" t="s">
        <v>2563</v>
      </c>
    </row>
    <row r="60" spans="1:4" x14ac:dyDescent="0.25">
      <c r="A60" t="s">
        <v>2565</v>
      </c>
      <c r="B60" t="s">
        <v>2557</v>
      </c>
      <c r="C60" t="s">
        <v>2366</v>
      </c>
      <c r="D60" t="s">
        <v>211</v>
      </c>
    </row>
    <row r="61" spans="1:4" x14ac:dyDescent="0.25">
      <c r="A61" t="s">
        <v>2566</v>
      </c>
      <c r="B61" t="s">
        <v>2560</v>
      </c>
      <c r="C61" t="s">
        <v>2366</v>
      </c>
      <c r="D61" t="s">
        <v>211</v>
      </c>
    </row>
    <row r="62" spans="1:4" x14ac:dyDescent="0.25">
      <c r="A62" t="s">
        <v>2567</v>
      </c>
      <c r="B62" t="s">
        <v>2563</v>
      </c>
      <c r="C62" t="s">
        <v>2366</v>
      </c>
      <c r="D62" t="s">
        <v>211</v>
      </c>
    </row>
    <row r="63" spans="1:4" x14ac:dyDescent="0.25">
      <c r="A63" t="s">
        <v>2568</v>
      </c>
      <c r="B63" t="s">
        <v>211</v>
      </c>
      <c r="C63" t="s">
        <v>2359</v>
      </c>
      <c r="D63" t="s">
        <v>214</v>
      </c>
    </row>
    <row r="64" spans="1:4" x14ac:dyDescent="0.25">
      <c r="A64" t="s">
        <v>2569</v>
      </c>
      <c r="B64" t="s">
        <v>212</v>
      </c>
      <c r="C64" t="s">
        <v>2357</v>
      </c>
      <c r="D64" t="s">
        <v>214</v>
      </c>
    </row>
    <row r="65" spans="1:4" x14ac:dyDescent="0.25">
      <c r="A65" t="s">
        <v>2570</v>
      </c>
      <c r="B65" t="s">
        <v>214</v>
      </c>
      <c r="C65" t="s">
        <v>2359</v>
      </c>
      <c r="D65" t="s">
        <v>216</v>
      </c>
    </row>
    <row r="66" spans="1:4" x14ac:dyDescent="0.25">
      <c r="A66" t="s">
        <v>2571</v>
      </c>
      <c r="B66" t="s">
        <v>212</v>
      </c>
      <c r="C66" t="s">
        <v>2357</v>
      </c>
      <c r="D66" t="s">
        <v>216</v>
      </c>
    </row>
    <row r="67" spans="1:4" x14ac:dyDescent="0.25">
      <c r="A67" t="s">
        <v>2572</v>
      </c>
      <c r="B67" t="s">
        <v>216</v>
      </c>
      <c r="C67" t="s">
        <v>2359</v>
      </c>
      <c r="D67" t="s">
        <v>218</v>
      </c>
    </row>
    <row r="68" spans="1:4" x14ac:dyDescent="0.25">
      <c r="A68" t="s">
        <v>2573</v>
      </c>
      <c r="B68" t="s">
        <v>212</v>
      </c>
      <c r="C68" t="s">
        <v>2357</v>
      </c>
      <c r="D68" t="s">
        <v>218</v>
      </c>
    </row>
    <row r="69" spans="1:4" x14ac:dyDescent="0.25">
      <c r="A69" t="s">
        <v>2574</v>
      </c>
      <c r="B69" t="s">
        <v>218</v>
      </c>
      <c r="C69" t="s">
        <v>2359</v>
      </c>
      <c r="D69" t="s">
        <v>220</v>
      </c>
    </row>
    <row r="70" spans="1:4" x14ac:dyDescent="0.25">
      <c r="A70" t="s">
        <v>2575</v>
      </c>
      <c r="B70" t="s">
        <v>212</v>
      </c>
      <c r="C70" t="s">
        <v>2357</v>
      </c>
      <c r="D70" t="s">
        <v>220</v>
      </c>
    </row>
    <row r="71" spans="1:4" x14ac:dyDescent="0.25">
      <c r="A71" t="s">
        <v>2576</v>
      </c>
      <c r="B71" t="s">
        <v>220</v>
      </c>
      <c r="C71" t="s">
        <v>2359</v>
      </c>
      <c r="D71" t="s">
        <v>222</v>
      </c>
    </row>
    <row r="72" spans="1:4" x14ac:dyDescent="0.25">
      <c r="A72" t="s">
        <v>2577</v>
      </c>
      <c r="B72" t="s">
        <v>212</v>
      </c>
      <c r="C72" t="s">
        <v>2357</v>
      </c>
      <c r="D72" t="s">
        <v>222</v>
      </c>
    </row>
    <row r="73" spans="1:4" x14ac:dyDescent="0.25">
      <c r="A73" t="s">
        <v>2578</v>
      </c>
      <c r="B73" t="s">
        <v>222</v>
      </c>
      <c r="C73" t="s">
        <v>2359</v>
      </c>
      <c r="D73" t="s">
        <v>385</v>
      </c>
    </row>
    <row r="74" spans="1:4" x14ac:dyDescent="0.25">
      <c r="A74" t="s">
        <v>2579</v>
      </c>
      <c r="B74" t="s">
        <v>212</v>
      </c>
      <c r="C74" t="s">
        <v>2357</v>
      </c>
      <c r="D74" t="s">
        <v>385</v>
      </c>
    </row>
    <row r="75" spans="1:4" x14ac:dyDescent="0.25">
      <c r="A75" t="s">
        <v>2580</v>
      </c>
      <c r="B75" t="s">
        <v>224</v>
      </c>
      <c r="C75" t="s">
        <v>2359</v>
      </c>
      <c r="D75" t="s">
        <v>227</v>
      </c>
    </row>
    <row r="76" spans="1:4" x14ac:dyDescent="0.25">
      <c r="A76" t="s">
        <v>2581</v>
      </c>
      <c r="B76" t="s">
        <v>212</v>
      </c>
      <c r="C76" t="s">
        <v>2357</v>
      </c>
      <c r="D76" t="s">
        <v>227</v>
      </c>
    </row>
    <row r="77" spans="1:4" x14ac:dyDescent="0.25">
      <c r="A77" t="s">
        <v>2582</v>
      </c>
      <c r="B77" t="s">
        <v>227</v>
      </c>
      <c r="C77" t="s">
        <v>2359</v>
      </c>
      <c r="D77" t="s">
        <v>230</v>
      </c>
    </row>
    <row r="78" spans="1:4" x14ac:dyDescent="0.25">
      <c r="A78" t="s">
        <v>2583</v>
      </c>
      <c r="B78" t="s">
        <v>228</v>
      </c>
      <c r="C78" t="s">
        <v>2357</v>
      </c>
      <c r="D78" t="s">
        <v>230</v>
      </c>
    </row>
    <row r="79" spans="1:4" x14ac:dyDescent="0.25">
      <c r="A79" t="s">
        <v>2584</v>
      </c>
      <c r="B79" t="s">
        <v>230</v>
      </c>
      <c r="C79" t="s">
        <v>2359</v>
      </c>
      <c r="D79" t="s">
        <v>232</v>
      </c>
    </row>
    <row r="80" spans="1:4" x14ac:dyDescent="0.25">
      <c r="A80" t="s">
        <v>2585</v>
      </c>
      <c r="B80" t="s">
        <v>228</v>
      </c>
      <c r="C80" t="s">
        <v>2357</v>
      </c>
      <c r="D80" t="s">
        <v>232</v>
      </c>
    </row>
    <row r="81" spans="1:4" x14ac:dyDescent="0.25">
      <c r="A81" t="s">
        <v>2586</v>
      </c>
      <c r="B81" t="s">
        <v>232</v>
      </c>
      <c r="C81" t="s">
        <v>2359</v>
      </c>
      <c r="D81" t="s">
        <v>237</v>
      </c>
    </row>
    <row r="82" spans="1:4" x14ac:dyDescent="0.25">
      <c r="A82" t="s">
        <v>2587</v>
      </c>
      <c r="B82" t="s">
        <v>228</v>
      </c>
      <c r="C82" t="s">
        <v>2357</v>
      </c>
      <c r="D82" t="s">
        <v>237</v>
      </c>
    </row>
    <row r="83" spans="1:4" x14ac:dyDescent="0.25">
      <c r="A83" t="s">
        <v>2588</v>
      </c>
      <c r="B83" t="s">
        <v>234</v>
      </c>
      <c r="C83" t="s">
        <v>2359</v>
      </c>
      <c r="D83" t="s">
        <v>181</v>
      </c>
    </row>
    <row r="84" spans="1:4" x14ac:dyDescent="0.25">
      <c r="A84" t="s">
        <v>2589</v>
      </c>
      <c r="B84" t="s">
        <v>237</v>
      </c>
      <c r="C84" t="s">
        <v>2359</v>
      </c>
      <c r="D84" t="s">
        <v>239</v>
      </c>
    </row>
    <row r="85" spans="1:4" x14ac:dyDescent="0.25">
      <c r="A85" t="s">
        <v>2590</v>
      </c>
      <c r="B85" t="s">
        <v>238</v>
      </c>
      <c r="C85" t="s">
        <v>2357</v>
      </c>
      <c r="D85" t="s">
        <v>239</v>
      </c>
    </row>
    <row r="86" spans="1:4" x14ac:dyDescent="0.25">
      <c r="A86" t="s">
        <v>2591</v>
      </c>
      <c r="B86" t="s">
        <v>239</v>
      </c>
      <c r="C86" t="s">
        <v>2359</v>
      </c>
      <c r="D86" t="s">
        <v>242</v>
      </c>
    </row>
    <row r="87" spans="1:4" x14ac:dyDescent="0.25">
      <c r="A87" t="s">
        <v>2592</v>
      </c>
      <c r="B87" t="s">
        <v>238</v>
      </c>
      <c r="C87" t="s">
        <v>2357</v>
      </c>
      <c r="D87" t="s">
        <v>242</v>
      </c>
    </row>
    <row r="88" spans="1:4" x14ac:dyDescent="0.25">
      <c r="A88" t="s">
        <v>2593</v>
      </c>
      <c r="B88" t="s">
        <v>242</v>
      </c>
      <c r="C88" t="s">
        <v>2359</v>
      </c>
      <c r="D88" t="s">
        <v>244</v>
      </c>
    </row>
    <row r="89" spans="1:4" x14ac:dyDescent="0.25">
      <c r="A89" t="s">
        <v>2594</v>
      </c>
      <c r="B89" t="s">
        <v>243</v>
      </c>
      <c r="C89" t="s">
        <v>2357</v>
      </c>
      <c r="D89" t="s">
        <v>244</v>
      </c>
    </row>
    <row r="90" spans="1:4" x14ac:dyDescent="0.25">
      <c r="A90" t="s">
        <v>2595</v>
      </c>
      <c r="B90" t="s">
        <v>244</v>
      </c>
      <c r="C90" t="s">
        <v>2359</v>
      </c>
      <c r="D90" t="s">
        <v>234</v>
      </c>
    </row>
    <row r="91" spans="1:4" x14ac:dyDescent="0.25">
      <c r="A91" t="s">
        <v>2596</v>
      </c>
      <c r="B91" t="s">
        <v>243</v>
      </c>
      <c r="C91" t="s">
        <v>2357</v>
      </c>
      <c r="D91" t="s">
        <v>234</v>
      </c>
    </row>
    <row r="92" spans="1:4" x14ac:dyDescent="0.25">
      <c r="A92" t="s">
        <v>2597</v>
      </c>
      <c r="B92" t="s">
        <v>195</v>
      </c>
      <c r="C92" t="s">
        <v>2359</v>
      </c>
      <c r="D92" t="s">
        <v>248</v>
      </c>
    </row>
    <row r="93" spans="1:4" x14ac:dyDescent="0.25">
      <c r="A93" t="s">
        <v>2598</v>
      </c>
      <c r="B93" t="s">
        <v>247</v>
      </c>
      <c r="C93" t="s">
        <v>2357</v>
      </c>
      <c r="D93" t="s">
        <v>248</v>
      </c>
    </row>
    <row r="94" spans="1:4" x14ac:dyDescent="0.25">
      <c r="A94" t="s">
        <v>2599</v>
      </c>
      <c r="B94" t="s">
        <v>248</v>
      </c>
      <c r="C94" t="s">
        <v>2359</v>
      </c>
      <c r="D94" t="s">
        <v>182</v>
      </c>
    </row>
    <row r="95" spans="1:4" x14ac:dyDescent="0.25">
      <c r="A95" t="s">
        <v>2600</v>
      </c>
      <c r="B95" t="s">
        <v>247</v>
      </c>
      <c r="C95" t="s">
        <v>2357</v>
      </c>
      <c r="D95" t="s">
        <v>182</v>
      </c>
    </row>
    <row r="96" spans="1:4" x14ac:dyDescent="0.25">
      <c r="A96" t="s">
        <v>2601</v>
      </c>
      <c r="B96" t="s">
        <v>181</v>
      </c>
      <c r="C96" t="s">
        <v>2366</v>
      </c>
      <c r="D96" t="s">
        <v>253</v>
      </c>
    </row>
    <row r="97" spans="1:4" x14ac:dyDescent="0.25">
      <c r="A97" t="s">
        <v>2602</v>
      </c>
      <c r="B97" t="s">
        <v>505</v>
      </c>
      <c r="C97" t="s">
        <v>2366</v>
      </c>
      <c r="D97" t="s">
        <v>253</v>
      </c>
    </row>
    <row r="98" spans="1:4" x14ac:dyDescent="0.25">
      <c r="A98" t="s">
        <v>2603</v>
      </c>
      <c r="B98" t="s">
        <v>942</v>
      </c>
      <c r="C98" t="s">
        <v>2366</v>
      </c>
      <c r="D98" t="s">
        <v>253</v>
      </c>
    </row>
    <row r="99" spans="1:4" x14ac:dyDescent="0.25">
      <c r="A99" t="s">
        <v>2604</v>
      </c>
      <c r="B99" t="s">
        <v>1449</v>
      </c>
      <c r="C99" t="s">
        <v>2366</v>
      </c>
      <c r="D99" t="s">
        <v>253</v>
      </c>
    </row>
    <row r="100" spans="1:4" x14ac:dyDescent="0.25">
      <c r="A100" t="s">
        <v>2605</v>
      </c>
      <c r="B100" t="s">
        <v>252</v>
      </c>
      <c r="C100" t="s">
        <v>2357</v>
      </c>
      <c r="D100" t="s">
        <v>253</v>
      </c>
    </row>
    <row r="101" spans="1:4" x14ac:dyDescent="0.25">
      <c r="A101" t="s">
        <v>2606</v>
      </c>
      <c r="B101" t="s">
        <v>253</v>
      </c>
      <c r="C101" t="s">
        <v>2359</v>
      </c>
      <c r="D101" t="s">
        <v>132</v>
      </c>
    </row>
    <row r="102" spans="1:4" x14ac:dyDescent="0.25">
      <c r="A102" t="s">
        <v>2607</v>
      </c>
      <c r="B102" t="s">
        <v>252</v>
      </c>
      <c r="C102" t="s">
        <v>2357</v>
      </c>
      <c r="D102" t="s">
        <v>132</v>
      </c>
    </row>
    <row r="103" spans="1:4" x14ac:dyDescent="0.25">
      <c r="A103" t="s">
        <v>2608</v>
      </c>
      <c r="B103" t="s">
        <v>132</v>
      </c>
      <c r="C103" t="s">
        <v>2359</v>
      </c>
      <c r="D103" t="s">
        <v>257</v>
      </c>
    </row>
    <row r="104" spans="1:4" x14ac:dyDescent="0.25">
      <c r="A104" t="s">
        <v>2609</v>
      </c>
      <c r="B104" t="s">
        <v>131</v>
      </c>
      <c r="C104" t="s">
        <v>2399</v>
      </c>
      <c r="D104" t="s">
        <v>257</v>
      </c>
    </row>
    <row r="105" spans="1:4" x14ac:dyDescent="0.25">
      <c r="A105" t="s">
        <v>2610</v>
      </c>
      <c r="B105" t="s">
        <v>256</v>
      </c>
      <c r="C105" t="s">
        <v>2357</v>
      </c>
      <c r="D105" t="s">
        <v>257</v>
      </c>
    </row>
    <row r="106" spans="1:4" x14ac:dyDescent="0.25">
      <c r="A106" t="s">
        <v>2611</v>
      </c>
      <c r="B106" t="s">
        <v>257</v>
      </c>
      <c r="C106" t="s">
        <v>2359</v>
      </c>
      <c r="D106" t="s">
        <v>2612</v>
      </c>
    </row>
    <row r="107" spans="1:4" x14ac:dyDescent="0.25">
      <c r="A107" t="s">
        <v>2613</v>
      </c>
      <c r="B107" t="s">
        <v>131</v>
      </c>
      <c r="C107" t="s">
        <v>2399</v>
      </c>
      <c r="D107" t="s">
        <v>2612</v>
      </c>
    </row>
    <row r="108" spans="1:4" x14ac:dyDescent="0.25">
      <c r="A108" t="s">
        <v>2614</v>
      </c>
      <c r="B108" t="s">
        <v>256</v>
      </c>
      <c r="C108" t="s">
        <v>2357</v>
      </c>
      <c r="D108" t="s">
        <v>2612</v>
      </c>
    </row>
    <row r="109" spans="1:4" x14ac:dyDescent="0.25">
      <c r="A109" t="s">
        <v>2615</v>
      </c>
      <c r="B109" t="s">
        <v>260</v>
      </c>
      <c r="C109" t="s">
        <v>2359</v>
      </c>
      <c r="D109" t="s">
        <v>263</v>
      </c>
    </row>
    <row r="110" spans="1:4" x14ac:dyDescent="0.25">
      <c r="A110" t="s">
        <v>2616</v>
      </c>
      <c r="B110" t="s">
        <v>261</v>
      </c>
      <c r="C110" t="s">
        <v>2357</v>
      </c>
      <c r="D110" t="s">
        <v>263</v>
      </c>
    </row>
    <row r="111" spans="1:4" x14ac:dyDescent="0.25">
      <c r="A111" t="s">
        <v>2617</v>
      </c>
      <c r="B111" t="s">
        <v>263</v>
      </c>
      <c r="C111" t="s">
        <v>2359</v>
      </c>
      <c r="D111" t="s">
        <v>265</v>
      </c>
    </row>
    <row r="112" spans="1:4" x14ac:dyDescent="0.25">
      <c r="A112" t="s">
        <v>2618</v>
      </c>
      <c r="B112" t="s">
        <v>261</v>
      </c>
      <c r="C112" t="s">
        <v>2357</v>
      </c>
      <c r="D112" t="s">
        <v>265</v>
      </c>
    </row>
    <row r="113" spans="1:4" x14ac:dyDescent="0.25">
      <c r="A113" t="s">
        <v>2619</v>
      </c>
      <c r="B113" t="s">
        <v>265</v>
      </c>
      <c r="C113" t="s">
        <v>2359</v>
      </c>
      <c r="D113" t="s">
        <v>2620</v>
      </c>
    </row>
    <row r="114" spans="1:4" x14ac:dyDescent="0.25">
      <c r="A114" t="s">
        <v>2621</v>
      </c>
      <c r="B114" t="s">
        <v>261</v>
      </c>
      <c r="C114" t="s">
        <v>2357</v>
      </c>
      <c r="D114" t="s">
        <v>2620</v>
      </c>
    </row>
    <row r="115" spans="1:4" x14ac:dyDescent="0.25">
      <c r="A115" t="s">
        <v>2622</v>
      </c>
      <c r="B115" t="s">
        <v>127</v>
      </c>
      <c r="C115" t="s">
        <v>2359</v>
      </c>
      <c r="D115" t="s">
        <v>270</v>
      </c>
    </row>
    <row r="116" spans="1:4" x14ac:dyDescent="0.25">
      <c r="A116" t="s">
        <v>2623</v>
      </c>
      <c r="B116" t="s">
        <v>269</v>
      </c>
      <c r="C116" t="s">
        <v>2357</v>
      </c>
      <c r="D116" t="s">
        <v>270</v>
      </c>
    </row>
    <row r="117" spans="1:4" x14ac:dyDescent="0.25">
      <c r="A117" t="s">
        <v>2624</v>
      </c>
      <c r="B117" t="s">
        <v>270</v>
      </c>
      <c r="C117" t="s">
        <v>2359</v>
      </c>
      <c r="D117" t="s">
        <v>2625</v>
      </c>
    </row>
    <row r="118" spans="1:4" x14ac:dyDescent="0.25">
      <c r="A118" t="s">
        <v>2626</v>
      </c>
      <c r="B118" t="s">
        <v>269</v>
      </c>
      <c r="C118" t="s">
        <v>2357</v>
      </c>
      <c r="D118" t="s">
        <v>2625</v>
      </c>
    </row>
    <row r="119" spans="1:4" x14ac:dyDescent="0.25">
      <c r="A119" t="s">
        <v>2627</v>
      </c>
      <c r="B119" t="s">
        <v>127</v>
      </c>
      <c r="C119" t="s">
        <v>2359</v>
      </c>
      <c r="D119" t="s">
        <v>275</v>
      </c>
    </row>
    <row r="120" spans="1:4" x14ac:dyDescent="0.25">
      <c r="A120" t="s">
        <v>2628</v>
      </c>
      <c r="B120" t="s">
        <v>273</v>
      </c>
      <c r="C120" t="s">
        <v>2357</v>
      </c>
      <c r="D120" t="s">
        <v>275</v>
      </c>
    </row>
    <row r="121" spans="1:4" x14ac:dyDescent="0.25">
      <c r="A121" t="s">
        <v>2629</v>
      </c>
      <c r="B121" t="s">
        <v>275</v>
      </c>
      <c r="C121" t="s">
        <v>2359</v>
      </c>
      <c r="D121" t="s">
        <v>276</v>
      </c>
    </row>
    <row r="122" spans="1:4" x14ac:dyDescent="0.25">
      <c r="A122" t="s">
        <v>2630</v>
      </c>
      <c r="B122" t="s">
        <v>273</v>
      </c>
      <c r="C122" t="s">
        <v>2357</v>
      </c>
      <c r="D122" t="s">
        <v>276</v>
      </c>
    </row>
    <row r="123" spans="1:4" x14ac:dyDescent="0.25">
      <c r="A123" t="s">
        <v>2631</v>
      </c>
      <c r="B123" t="s">
        <v>276</v>
      </c>
      <c r="C123" t="s">
        <v>2359</v>
      </c>
      <c r="D123" t="s">
        <v>2632</v>
      </c>
    </row>
    <row r="124" spans="1:4" x14ac:dyDescent="0.25">
      <c r="A124" t="s">
        <v>2633</v>
      </c>
      <c r="B124" t="s">
        <v>127</v>
      </c>
      <c r="C124" t="s">
        <v>2359</v>
      </c>
      <c r="D124" t="s">
        <v>280</v>
      </c>
    </row>
    <row r="125" spans="1:4" x14ac:dyDescent="0.25">
      <c r="A125" t="s">
        <v>2634</v>
      </c>
      <c r="B125" t="s">
        <v>279</v>
      </c>
      <c r="C125" t="s">
        <v>2357</v>
      </c>
      <c r="D125" t="s">
        <v>280</v>
      </c>
    </row>
    <row r="126" spans="1:4" x14ac:dyDescent="0.25">
      <c r="A126" t="s">
        <v>2635</v>
      </c>
      <c r="B126" t="s">
        <v>280</v>
      </c>
      <c r="C126" t="s">
        <v>2359</v>
      </c>
      <c r="D126" t="s">
        <v>2636</v>
      </c>
    </row>
    <row r="127" spans="1:4" x14ac:dyDescent="0.25">
      <c r="A127" t="s">
        <v>2637</v>
      </c>
      <c r="B127" t="s">
        <v>279</v>
      </c>
      <c r="C127" t="s">
        <v>2357</v>
      </c>
      <c r="D127" t="s">
        <v>2636</v>
      </c>
    </row>
    <row r="128" spans="1:4" x14ac:dyDescent="0.25">
      <c r="A128" t="s">
        <v>2638</v>
      </c>
      <c r="B128" t="s">
        <v>127</v>
      </c>
      <c r="C128" t="s">
        <v>2359</v>
      </c>
      <c r="D128" t="s">
        <v>285</v>
      </c>
    </row>
    <row r="129" spans="1:4" x14ac:dyDescent="0.25">
      <c r="A129" t="s">
        <v>2639</v>
      </c>
      <c r="B129" t="s">
        <v>283</v>
      </c>
      <c r="C129" t="s">
        <v>2357</v>
      </c>
      <c r="D129" t="s">
        <v>285</v>
      </c>
    </row>
    <row r="130" spans="1:4" x14ac:dyDescent="0.25">
      <c r="A130" t="s">
        <v>2640</v>
      </c>
      <c r="B130" t="s">
        <v>285</v>
      </c>
      <c r="C130" t="s">
        <v>2359</v>
      </c>
      <c r="D130" t="s">
        <v>2641</v>
      </c>
    </row>
    <row r="131" spans="1:4" x14ac:dyDescent="0.25">
      <c r="A131" t="s">
        <v>2642</v>
      </c>
      <c r="B131" t="s">
        <v>283</v>
      </c>
      <c r="C131" t="s">
        <v>2357</v>
      </c>
      <c r="D131" t="s">
        <v>2641</v>
      </c>
    </row>
    <row r="132" spans="1:4" x14ac:dyDescent="0.25">
      <c r="A132" t="s">
        <v>2643</v>
      </c>
      <c r="B132" t="s">
        <v>285</v>
      </c>
      <c r="C132" t="s">
        <v>2359</v>
      </c>
      <c r="D132" t="s">
        <v>2644</v>
      </c>
    </row>
    <row r="133" spans="1:4" x14ac:dyDescent="0.25">
      <c r="A133" t="s">
        <v>2645</v>
      </c>
      <c r="B133" t="s">
        <v>283</v>
      </c>
      <c r="C133" t="s">
        <v>2357</v>
      </c>
      <c r="D133" t="s">
        <v>2644</v>
      </c>
    </row>
    <row r="134" spans="1:4" x14ac:dyDescent="0.25">
      <c r="A134" t="s">
        <v>2646</v>
      </c>
      <c r="B134" t="s">
        <v>2641</v>
      </c>
      <c r="C134" t="s">
        <v>2366</v>
      </c>
      <c r="D134" t="s">
        <v>2647</v>
      </c>
    </row>
    <row r="135" spans="1:4" x14ac:dyDescent="0.25">
      <c r="A135" t="s">
        <v>2648</v>
      </c>
      <c r="B135" t="s">
        <v>2644</v>
      </c>
      <c r="C135" t="s">
        <v>2366</v>
      </c>
      <c r="D135" t="s">
        <v>2647</v>
      </c>
    </row>
    <row r="136" spans="1:4" x14ac:dyDescent="0.25">
      <c r="A136" t="s">
        <v>2649</v>
      </c>
      <c r="B136" t="s">
        <v>160</v>
      </c>
      <c r="C136" t="s">
        <v>2359</v>
      </c>
      <c r="D136" t="s">
        <v>294</v>
      </c>
    </row>
    <row r="137" spans="1:4" x14ac:dyDescent="0.25">
      <c r="A137" t="s">
        <v>2650</v>
      </c>
      <c r="B137" t="s">
        <v>294</v>
      </c>
      <c r="C137" t="s">
        <v>2359</v>
      </c>
      <c r="D137" t="s">
        <v>296</v>
      </c>
    </row>
    <row r="138" spans="1:4" x14ac:dyDescent="0.25">
      <c r="A138" t="s">
        <v>2651</v>
      </c>
      <c r="B138" t="s">
        <v>296</v>
      </c>
      <c r="C138" t="s">
        <v>2359</v>
      </c>
      <c r="D138" t="s">
        <v>298</v>
      </c>
    </row>
    <row r="139" spans="1:4" x14ac:dyDescent="0.25">
      <c r="A139" t="s">
        <v>2652</v>
      </c>
      <c r="B139" t="s">
        <v>298</v>
      </c>
      <c r="C139" t="s">
        <v>2359</v>
      </c>
      <c r="D139" t="s">
        <v>2653</v>
      </c>
    </row>
    <row r="140" spans="1:4" x14ac:dyDescent="0.25">
      <c r="A140" t="s">
        <v>2654</v>
      </c>
      <c r="B140" t="s">
        <v>127</v>
      </c>
      <c r="C140" t="s">
        <v>2359</v>
      </c>
      <c r="D140" t="s">
        <v>303</v>
      </c>
    </row>
    <row r="141" spans="1:4" x14ac:dyDescent="0.25">
      <c r="A141" t="s">
        <v>2655</v>
      </c>
      <c r="B141" t="s">
        <v>301</v>
      </c>
      <c r="C141" t="s">
        <v>2357</v>
      </c>
      <c r="D141" t="s">
        <v>303</v>
      </c>
    </row>
    <row r="142" spans="1:4" x14ac:dyDescent="0.25">
      <c r="A142" t="s">
        <v>2656</v>
      </c>
      <c r="B142" t="s">
        <v>303</v>
      </c>
      <c r="C142" t="s">
        <v>2359</v>
      </c>
      <c r="D142" t="s">
        <v>305</v>
      </c>
    </row>
    <row r="143" spans="1:4" x14ac:dyDescent="0.25">
      <c r="A143" t="s">
        <v>2657</v>
      </c>
      <c r="B143" t="s">
        <v>301</v>
      </c>
      <c r="C143" t="s">
        <v>2357</v>
      </c>
      <c r="D143" t="s">
        <v>305</v>
      </c>
    </row>
    <row r="144" spans="1:4" x14ac:dyDescent="0.25">
      <c r="A144" t="s">
        <v>2658</v>
      </c>
      <c r="B144" t="s">
        <v>305</v>
      </c>
      <c r="C144" t="s">
        <v>2359</v>
      </c>
      <c r="D144" t="s">
        <v>2659</v>
      </c>
    </row>
    <row r="145" spans="1:4" x14ac:dyDescent="0.25">
      <c r="A145" t="s">
        <v>2660</v>
      </c>
      <c r="B145" t="s">
        <v>127</v>
      </c>
      <c r="C145" t="s">
        <v>2359</v>
      </c>
      <c r="D145" t="s">
        <v>310</v>
      </c>
    </row>
    <row r="146" spans="1:4" x14ac:dyDescent="0.25">
      <c r="A146" t="s">
        <v>2661</v>
      </c>
      <c r="B146" t="s">
        <v>308</v>
      </c>
      <c r="C146" t="s">
        <v>2357</v>
      </c>
      <c r="D146" t="s">
        <v>310</v>
      </c>
    </row>
    <row r="147" spans="1:4" x14ac:dyDescent="0.25">
      <c r="A147" t="s">
        <v>2662</v>
      </c>
      <c r="B147" t="s">
        <v>310</v>
      </c>
      <c r="C147" t="s">
        <v>2359</v>
      </c>
      <c r="D147" t="s">
        <v>2663</v>
      </c>
    </row>
    <row r="148" spans="1:4" x14ac:dyDescent="0.25">
      <c r="A148" t="s">
        <v>2664</v>
      </c>
      <c r="B148" t="s">
        <v>308</v>
      </c>
      <c r="C148" t="s">
        <v>2357</v>
      </c>
      <c r="D148" t="s">
        <v>2663</v>
      </c>
    </row>
    <row r="149" spans="1:4" x14ac:dyDescent="0.25">
      <c r="A149" t="s">
        <v>2665</v>
      </c>
      <c r="B149" t="s">
        <v>127</v>
      </c>
      <c r="C149" t="s">
        <v>2359</v>
      </c>
      <c r="D149" t="s">
        <v>314</v>
      </c>
    </row>
    <row r="150" spans="1:4" x14ac:dyDescent="0.25">
      <c r="A150" t="s">
        <v>2666</v>
      </c>
      <c r="B150" t="s">
        <v>313</v>
      </c>
      <c r="C150" t="s">
        <v>2357</v>
      </c>
      <c r="D150" t="s">
        <v>314</v>
      </c>
    </row>
    <row r="151" spans="1:4" x14ac:dyDescent="0.25">
      <c r="A151" t="s">
        <v>2667</v>
      </c>
      <c r="B151" t="s">
        <v>314</v>
      </c>
      <c r="C151" t="s">
        <v>2359</v>
      </c>
      <c r="D151" t="s">
        <v>2668</v>
      </c>
    </row>
    <row r="152" spans="1:4" x14ac:dyDescent="0.25">
      <c r="A152" t="s">
        <v>2669</v>
      </c>
      <c r="B152" t="s">
        <v>313</v>
      </c>
      <c r="C152" t="s">
        <v>2357</v>
      </c>
      <c r="D152" t="s">
        <v>2668</v>
      </c>
    </row>
    <row r="153" spans="1:4" x14ac:dyDescent="0.25">
      <c r="A153" t="s">
        <v>2670</v>
      </c>
      <c r="B153" t="s">
        <v>127</v>
      </c>
      <c r="C153" t="s">
        <v>2359</v>
      </c>
      <c r="D153" t="s">
        <v>319</v>
      </c>
    </row>
    <row r="154" spans="1:4" x14ac:dyDescent="0.25">
      <c r="A154" t="s">
        <v>2671</v>
      </c>
      <c r="B154" t="s">
        <v>317</v>
      </c>
      <c r="C154" t="s">
        <v>2357</v>
      </c>
      <c r="D154" t="s">
        <v>319</v>
      </c>
    </row>
    <row r="155" spans="1:4" x14ac:dyDescent="0.25">
      <c r="A155" t="s">
        <v>2672</v>
      </c>
      <c r="B155" t="s">
        <v>319</v>
      </c>
      <c r="C155" t="s">
        <v>2359</v>
      </c>
      <c r="D155" t="s">
        <v>321</v>
      </c>
    </row>
    <row r="156" spans="1:4" x14ac:dyDescent="0.25">
      <c r="A156" t="s">
        <v>2673</v>
      </c>
      <c r="B156" t="s">
        <v>317</v>
      </c>
      <c r="C156" t="s">
        <v>2357</v>
      </c>
      <c r="D156" t="s">
        <v>321</v>
      </c>
    </row>
    <row r="157" spans="1:4" x14ac:dyDescent="0.25">
      <c r="A157" t="s">
        <v>2674</v>
      </c>
      <c r="B157" t="s">
        <v>321</v>
      </c>
      <c r="C157" t="s">
        <v>2359</v>
      </c>
      <c r="D157" t="s">
        <v>323</v>
      </c>
    </row>
    <row r="158" spans="1:4" x14ac:dyDescent="0.25">
      <c r="A158" t="s">
        <v>2675</v>
      </c>
      <c r="B158" t="s">
        <v>317</v>
      </c>
      <c r="C158" t="s">
        <v>2357</v>
      </c>
      <c r="D158" t="s">
        <v>323</v>
      </c>
    </row>
    <row r="159" spans="1:4" x14ac:dyDescent="0.25">
      <c r="A159" t="s">
        <v>2676</v>
      </c>
      <c r="B159" t="s">
        <v>323</v>
      </c>
      <c r="C159" t="s">
        <v>2359</v>
      </c>
      <c r="D159" t="s">
        <v>2677</v>
      </c>
    </row>
    <row r="160" spans="1:4" x14ac:dyDescent="0.25">
      <c r="A160" t="s">
        <v>2678</v>
      </c>
      <c r="B160" t="s">
        <v>127</v>
      </c>
      <c r="C160" t="s">
        <v>2359</v>
      </c>
      <c r="D160" t="s">
        <v>328</v>
      </c>
    </row>
    <row r="161" spans="1:4" x14ac:dyDescent="0.25">
      <c r="A161" t="s">
        <v>2679</v>
      </c>
      <c r="B161" t="s">
        <v>328</v>
      </c>
      <c r="C161" t="s">
        <v>2359</v>
      </c>
      <c r="D161" t="s">
        <v>330</v>
      </c>
    </row>
    <row r="162" spans="1:4" x14ac:dyDescent="0.25">
      <c r="A162" t="s">
        <v>2680</v>
      </c>
      <c r="B162" t="s">
        <v>330</v>
      </c>
      <c r="C162" t="s">
        <v>2359</v>
      </c>
      <c r="D162" t="s">
        <v>2681</v>
      </c>
    </row>
    <row r="163" spans="1:4" x14ac:dyDescent="0.25">
      <c r="A163" t="s">
        <v>2682</v>
      </c>
      <c r="B163" t="s">
        <v>127</v>
      </c>
      <c r="C163" t="s">
        <v>2359</v>
      </c>
      <c r="D163" t="s">
        <v>335</v>
      </c>
    </row>
    <row r="164" spans="1:4" x14ac:dyDescent="0.25">
      <c r="A164" t="s">
        <v>2683</v>
      </c>
      <c r="B164" t="s">
        <v>335</v>
      </c>
      <c r="C164" t="s">
        <v>2359</v>
      </c>
      <c r="D164" t="s">
        <v>2684</v>
      </c>
    </row>
    <row r="165" spans="1:4" x14ac:dyDescent="0.25">
      <c r="A165" t="s">
        <v>2685</v>
      </c>
      <c r="B165" t="s">
        <v>127</v>
      </c>
      <c r="C165" t="s">
        <v>2359</v>
      </c>
      <c r="D165" t="s">
        <v>340</v>
      </c>
    </row>
    <row r="166" spans="1:4" x14ac:dyDescent="0.25">
      <c r="A166" t="s">
        <v>2686</v>
      </c>
      <c r="B166" t="s">
        <v>338</v>
      </c>
      <c r="C166" t="s">
        <v>2357</v>
      </c>
      <c r="D166" t="s">
        <v>340</v>
      </c>
    </row>
    <row r="167" spans="1:4" x14ac:dyDescent="0.25">
      <c r="A167" t="s">
        <v>2687</v>
      </c>
      <c r="B167" t="s">
        <v>340</v>
      </c>
      <c r="C167" t="s">
        <v>2359</v>
      </c>
      <c r="D167" t="s">
        <v>341</v>
      </c>
    </row>
    <row r="168" spans="1:4" x14ac:dyDescent="0.25">
      <c r="A168" t="s">
        <v>2688</v>
      </c>
      <c r="B168" t="s">
        <v>338</v>
      </c>
      <c r="C168" t="s">
        <v>2357</v>
      </c>
      <c r="D168" t="s">
        <v>341</v>
      </c>
    </row>
    <row r="169" spans="1:4" x14ac:dyDescent="0.25">
      <c r="A169" t="s">
        <v>2689</v>
      </c>
      <c r="B169" t="s">
        <v>341</v>
      </c>
      <c r="C169" t="s">
        <v>2359</v>
      </c>
      <c r="D169" t="s">
        <v>2690</v>
      </c>
    </row>
    <row r="170" spans="1:4" x14ac:dyDescent="0.25">
      <c r="A170" t="s">
        <v>2691</v>
      </c>
      <c r="B170" t="s">
        <v>127</v>
      </c>
      <c r="C170" t="s">
        <v>2359</v>
      </c>
      <c r="D170" t="s">
        <v>346</v>
      </c>
    </row>
    <row r="171" spans="1:4" x14ac:dyDescent="0.25">
      <c r="A171" t="s">
        <v>2692</v>
      </c>
      <c r="B171" t="s">
        <v>131</v>
      </c>
      <c r="C171" t="s">
        <v>2399</v>
      </c>
      <c r="D171" t="s">
        <v>346</v>
      </c>
    </row>
    <row r="172" spans="1:4" x14ac:dyDescent="0.25">
      <c r="A172" t="s">
        <v>2693</v>
      </c>
      <c r="B172" t="s">
        <v>346</v>
      </c>
      <c r="C172" t="s">
        <v>2359</v>
      </c>
      <c r="D172" t="s">
        <v>348</v>
      </c>
    </row>
    <row r="173" spans="1:4" x14ac:dyDescent="0.25">
      <c r="A173" t="s">
        <v>2694</v>
      </c>
      <c r="B173" t="s">
        <v>131</v>
      </c>
      <c r="C173" t="s">
        <v>2399</v>
      </c>
      <c r="D173" t="s">
        <v>348</v>
      </c>
    </row>
    <row r="174" spans="1:4" x14ac:dyDescent="0.25">
      <c r="A174" t="s">
        <v>2695</v>
      </c>
      <c r="B174" t="s">
        <v>348</v>
      </c>
      <c r="C174" t="s">
        <v>2359</v>
      </c>
      <c r="D174" t="s">
        <v>2696</v>
      </c>
    </row>
    <row r="175" spans="1:4" x14ac:dyDescent="0.25">
      <c r="A175" t="s">
        <v>2697</v>
      </c>
      <c r="B175" t="s">
        <v>131</v>
      </c>
      <c r="C175" t="s">
        <v>2399</v>
      </c>
      <c r="D175" t="s">
        <v>2696</v>
      </c>
    </row>
    <row r="176" spans="1:4" x14ac:dyDescent="0.25">
      <c r="A176" t="s">
        <v>2698</v>
      </c>
      <c r="B176" t="s">
        <v>127</v>
      </c>
      <c r="C176" t="s">
        <v>2359</v>
      </c>
      <c r="D176" t="s">
        <v>353</v>
      </c>
    </row>
    <row r="177" spans="1:4" x14ac:dyDescent="0.25">
      <c r="A177" t="s">
        <v>2699</v>
      </c>
      <c r="B177" t="s">
        <v>353</v>
      </c>
      <c r="C177" t="s">
        <v>2359</v>
      </c>
      <c r="D177" t="s">
        <v>354</v>
      </c>
    </row>
    <row r="178" spans="1:4" x14ac:dyDescent="0.25">
      <c r="A178" t="s">
        <v>2700</v>
      </c>
      <c r="B178" t="s">
        <v>354</v>
      </c>
      <c r="C178" t="s">
        <v>2359</v>
      </c>
      <c r="D178" t="s">
        <v>2701</v>
      </c>
    </row>
    <row r="179" spans="1:4" x14ac:dyDescent="0.25">
      <c r="A179" t="s">
        <v>2702</v>
      </c>
      <c r="B179" t="s">
        <v>354</v>
      </c>
      <c r="C179" t="s">
        <v>2359</v>
      </c>
      <c r="D179" t="s">
        <v>2703</v>
      </c>
    </row>
    <row r="180" spans="1:4" x14ac:dyDescent="0.25">
      <c r="A180" t="s">
        <v>2704</v>
      </c>
      <c r="B180" t="s">
        <v>127</v>
      </c>
      <c r="C180" t="s">
        <v>2359</v>
      </c>
      <c r="D180" t="s">
        <v>362</v>
      </c>
    </row>
    <row r="181" spans="1:4" x14ac:dyDescent="0.25">
      <c r="A181" t="s">
        <v>2705</v>
      </c>
      <c r="B181" t="s">
        <v>360</v>
      </c>
      <c r="C181" t="s">
        <v>2357</v>
      </c>
      <c r="D181" t="s">
        <v>362</v>
      </c>
    </row>
    <row r="182" spans="1:4" x14ac:dyDescent="0.25">
      <c r="A182" t="s">
        <v>2706</v>
      </c>
      <c r="B182" t="s">
        <v>362</v>
      </c>
      <c r="C182" t="s">
        <v>2359</v>
      </c>
      <c r="D182" t="s">
        <v>364</v>
      </c>
    </row>
    <row r="183" spans="1:4" x14ac:dyDescent="0.25">
      <c r="A183" t="s">
        <v>2707</v>
      </c>
      <c r="B183" t="s">
        <v>360</v>
      </c>
      <c r="C183" t="s">
        <v>2357</v>
      </c>
      <c r="D183" t="s">
        <v>364</v>
      </c>
    </row>
    <row r="184" spans="1:4" x14ac:dyDescent="0.25">
      <c r="A184" t="s">
        <v>2708</v>
      </c>
      <c r="B184" t="s">
        <v>364</v>
      </c>
      <c r="C184" t="s">
        <v>2359</v>
      </c>
      <c r="D184" t="s">
        <v>366</v>
      </c>
    </row>
    <row r="185" spans="1:4" x14ac:dyDescent="0.25">
      <c r="A185" t="s">
        <v>2709</v>
      </c>
      <c r="B185" t="s">
        <v>366</v>
      </c>
      <c r="C185" t="s">
        <v>2359</v>
      </c>
      <c r="D185" t="s">
        <v>368</v>
      </c>
    </row>
    <row r="186" spans="1:4" x14ac:dyDescent="0.25">
      <c r="A186" t="s">
        <v>2710</v>
      </c>
      <c r="B186" t="s">
        <v>368</v>
      </c>
      <c r="C186" t="s">
        <v>2359</v>
      </c>
      <c r="D186" t="s">
        <v>369</v>
      </c>
    </row>
    <row r="187" spans="1:4" x14ac:dyDescent="0.25">
      <c r="A187" t="s">
        <v>2711</v>
      </c>
      <c r="B187" t="s">
        <v>369</v>
      </c>
      <c r="C187" t="s">
        <v>2359</v>
      </c>
      <c r="D187" t="s">
        <v>2712</v>
      </c>
    </row>
    <row r="188" spans="1:4" x14ac:dyDescent="0.25">
      <c r="A188" t="s">
        <v>2713</v>
      </c>
      <c r="B188" t="s">
        <v>127</v>
      </c>
      <c r="C188" t="s">
        <v>2359</v>
      </c>
      <c r="D188" t="s">
        <v>373</v>
      </c>
    </row>
    <row r="189" spans="1:4" x14ac:dyDescent="0.25">
      <c r="A189" t="s">
        <v>2714</v>
      </c>
      <c r="B189" t="s">
        <v>372</v>
      </c>
      <c r="C189" t="s">
        <v>2357</v>
      </c>
      <c r="D189" t="s">
        <v>373</v>
      </c>
    </row>
    <row r="190" spans="1:4" x14ac:dyDescent="0.25">
      <c r="A190" t="s">
        <v>2715</v>
      </c>
      <c r="B190" t="s">
        <v>373</v>
      </c>
      <c r="C190" t="s">
        <v>2359</v>
      </c>
      <c r="D190" t="s">
        <v>2716</v>
      </c>
    </row>
    <row r="191" spans="1:4" x14ac:dyDescent="0.25">
      <c r="A191" t="s">
        <v>2717</v>
      </c>
      <c r="B191" t="s">
        <v>372</v>
      </c>
      <c r="C191" t="s">
        <v>2357</v>
      </c>
      <c r="D191" t="s">
        <v>2716</v>
      </c>
    </row>
    <row r="192" spans="1:4" x14ac:dyDescent="0.25">
      <c r="A192" t="s">
        <v>2718</v>
      </c>
      <c r="B192" t="s">
        <v>160</v>
      </c>
      <c r="C192" t="s">
        <v>2359</v>
      </c>
      <c r="D192" t="s">
        <v>377</v>
      </c>
    </row>
    <row r="193" spans="1:4" x14ac:dyDescent="0.25">
      <c r="A193" t="s">
        <v>2719</v>
      </c>
      <c r="B193" t="s">
        <v>131</v>
      </c>
      <c r="C193" t="s">
        <v>2399</v>
      </c>
      <c r="D193" t="s">
        <v>377</v>
      </c>
    </row>
    <row r="194" spans="1:4" x14ac:dyDescent="0.25">
      <c r="A194" t="s">
        <v>2720</v>
      </c>
      <c r="B194" t="s">
        <v>376</v>
      </c>
      <c r="C194" t="s">
        <v>2357</v>
      </c>
      <c r="D194" t="s">
        <v>377</v>
      </c>
    </row>
    <row r="195" spans="1:4" x14ac:dyDescent="0.25">
      <c r="A195" t="s">
        <v>2721</v>
      </c>
      <c r="B195" t="s">
        <v>377</v>
      </c>
      <c r="C195" t="s">
        <v>2359</v>
      </c>
      <c r="D195" t="s">
        <v>2722</v>
      </c>
    </row>
    <row r="196" spans="1:4" x14ac:dyDescent="0.25">
      <c r="A196" t="s">
        <v>2723</v>
      </c>
      <c r="B196" t="s">
        <v>131</v>
      </c>
      <c r="C196" t="s">
        <v>2399</v>
      </c>
      <c r="D196" t="s">
        <v>2722</v>
      </c>
    </row>
    <row r="197" spans="1:4" x14ac:dyDescent="0.25">
      <c r="A197" t="s">
        <v>2724</v>
      </c>
      <c r="B197" t="s">
        <v>376</v>
      </c>
      <c r="C197" t="s">
        <v>2357</v>
      </c>
      <c r="D197" t="s">
        <v>2722</v>
      </c>
    </row>
    <row r="198" spans="1:4" x14ac:dyDescent="0.25">
      <c r="A198" t="s">
        <v>2725</v>
      </c>
      <c r="B198" t="s">
        <v>380</v>
      </c>
      <c r="C198" t="s">
        <v>2359</v>
      </c>
      <c r="D198" t="s">
        <v>382</v>
      </c>
    </row>
    <row r="199" spans="1:4" x14ac:dyDescent="0.25">
      <c r="A199" t="s">
        <v>2726</v>
      </c>
      <c r="B199" t="s">
        <v>131</v>
      </c>
      <c r="C199" t="s">
        <v>2399</v>
      </c>
      <c r="D199" t="s">
        <v>382</v>
      </c>
    </row>
    <row r="200" spans="1:4" x14ac:dyDescent="0.25">
      <c r="A200" t="s">
        <v>2727</v>
      </c>
      <c r="B200" t="s">
        <v>381</v>
      </c>
      <c r="C200" t="s">
        <v>2357</v>
      </c>
      <c r="D200" t="s">
        <v>382</v>
      </c>
    </row>
    <row r="201" spans="1:4" x14ac:dyDescent="0.25">
      <c r="A201" t="s">
        <v>2728</v>
      </c>
      <c r="B201" t="s">
        <v>382</v>
      </c>
      <c r="C201" t="s">
        <v>2359</v>
      </c>
      <c r="D201" t="s">
        <v>2729</v>
      </c>
    </row>
    <row r="202" spans="1:4" x14ac:dyDescent="0.25">
      <c r="A202" t="s">
        <v>2730</v>
      </c>
      <c r="B202" t="s">
        <v>131</v>
      </c>
      <c r="C202" t="s">
        <v>2399</v>
      </c>
      <c r="D202" t="s">
        <v>2729</v>
      </c>
    </row>
    <row r="203" spans="1:4" x14ac:dyDescent="0.25">
      <c r="A203" t="s">
        <v>2731</v>
      </c>
      <c r="B203" t="s">
        <v>381</v>
      </c>
      <c r="C203" t="s">
        <v>2357</v>
      </c>
      <c r="D203" t="s">
        <v>2729</v>
      </c>
    </row>
    <row r="204" spans="1:4" x14ac:dyDescent="0.25">
      <c r="A204" t="s">
        <v>2732</v>
      </c>
      <c r="B204" t="s">
        <v>385</v>
      </c>
      <c r="C204" t="s">
        <v>2359</v>
      </c>
      <c r="D204" t="s">
        <v>2733</v>
      </c>
    </row>
    <row r="205" spans="1:4" x14ac:dyDescent="0.25">
      <c r="A205" t="s">
        <v>2734</v>
      </c>
      <c r="B205" t="s">
        <v>386</v>
      </c>
      <c r="C205" t="s">
        <v>2357</v>
      </c>
      <c r="D205" t="s">
        <v>2733</v>
      </c>
    </row>
    <row r="206" spans="1:4" x14ac:dyDescent="0.25">
      <c r="A206" t="s">
        <v>2735</v>
      </c>
      <c r="B206" t="s">
        <v>386</v>
      </c>
      <c r="C206" t="s">
        <v>2357</v>
      </c>
      <c r="D206" t="s">
        <v>224</v>
      </c>
    </row>
    <row r="207" spans="1:4" x14ac:dyDescent="0.25">
      <c r="A207" t="s">
        <v>2736</v>
      </c>
      <c r="B207" t="s">
        <v>389</v>
      </c>
      <c r="C207" t="s">
        <v>2359</v>
      </c>
      <c r="D207" t="s">
        <v>392</v>
      </c>
    </row>
    <row r="208" spans="1:4" x14ac:dyDescent="0.25">
      <c r="A208" t="s">
        <v>2737</v>
      </c>
      <c r="B208" t="s">
        <v>131</v>
      </c>
      <c r="C208" t="s">
        <v>2399</v>
      </c>
      <c r="D208" t="s">
        <v>392</v>
      </c>
    </row>
    <row r="209" spans="1:4" x14ac:dyDescent="0.25">
      <c r="A209" t="s">
        <v>2738</v>
      </c>
      <c r="B209" t="s">
        <v>390</v>
      </c>
      <c r="C209" t="s">
        <v>2357</v>
      </c>
      <c r="D209" t="s">
        <v>392</v>
      </c>
    </row>
    <row r="210" spans="1:4" x14ac:dyDescent="0.25">
      <c r="A210" t="s">
        <v>2739</v>
      </c>
      <c r="B210" t="s">
        <v>392</v>
      </c>
      <c r="C210" t="s">
        <v>2359</v>
      </c>
      <c r="D210" t="s">
        <v>394</v>
      </c>
    </row>
    <row r="211" spans="1:4" x14ac:dyDescent="0.25">
      <c r="A211" t="s">
        <v>2740</v>
      </c>
      <c r="B211" t="s">
        <v>131</v>
      </c>
      <c r="C211" t="s">
        <v>2399</v>
      </c>
      <c r="D211" t="s">
        <v>394</v>
      </c>
    </row>
    <row r="212" spans="1:4" x14ac:dyDescent="0.25">
      <c r="A212" t="s">
        <v>2741</v>
      </c>
      <c r="B212" t="s">
        <v>390</v>
      </c>
      <c r="C212" t="s">
        <v>2357</v>
      </c>
      <c r="D212" t="s">
        <v>394</v>
      </c>
    </row>
    <row r="213" spans="1:4" x14ac:dyDescent="0.25">
      <c r="A213" t="s">
        <v>2742</v>
      </c>
      <c r="B213" t="s">
        <v>394</v>
      </c>
      <c r="C213" t="s">
        <v>2359</v>
      </c>
      <c r="D213" t="s">
        <v>396</v>
      </c>
    </row>
    <row r="214" spans="1:4" x14ac:dyDescent="0.25">
      <c r="A214" t="s">
        <v>2743</v>
      </c>
      <c r="B214" t="s">
        <v>131</v>
      </c>
      <c r="C214" t="s">
        <v>2399</v>
      </c>
      <c r="D214" t="s">
        <v>396</v>
      </c>
    </row>
    <row r="215" spans="1:4" x14ac:dyDescent="0.25">
      <c r="A215" t="s">
        <v>2744</v>
      </c>
      <c r="B215" t="s">
        <v>390</v>
      </c>
      <c r="C215" t="s">
        <v>2357</v>
      </c>
      <c r="D215" t="s">
        <v>396</v>
      </c>
    </row>
    <row r="216" spans="1:4" x14ac:dyDescent="0.25">
      <c r="A216" t="s">
        <v>2745</v>
      </c>
      <c r="B216" t="s">
        <v>396</v>
      </c>
      <c r="C216" t="s">
        <v>2359</v>
      </c>
      <c r="D216" t="s">
        <v>398</v>
      </c>
    </row>
    <row r="217" spans="1:4" x14ac:dyDescent="0.25">
      <c r="A217" t="s">
        <v>2746</v>
      </c>
      <c r="B217" t="s">
        <v>131</v>
      </c>
      <c r="C217" t="s">
        <v>2399</v>
      </c>
      <c r="D217" t="s">
        <v>398</v>
      </c>
    </row>
    <row r="218" spans="1:4" x14ac:dyDescent="0.25">
      <c r="A218" t="s">
        <v>2747</v>
      </c>
      <c r="B218" t="s">
        <v>390</v>
      </c>
      <c r="C218" t="s">
        <v>2357</v>
      </c>
      <c r="D218" t="s">
        <v>398</v>
      </c>
    </row>
    <row r="219" spans="1:4" x14ac:dyDescent="0.25">
      <c r="A219" t="s">
        <v>2748</v>
      </c>
      <c r="B219" t="s">
        <v>398</v>
      </c>
      <c r="C219" t="s">
        <v>2359</v>
      </c>
      <c r="D219" t="s">
        <v>400</v>
      </c>
    </row>
    <row r="220" spans="1:4" x14ac:dyDescent="0.25">
      <c r="A220" t="s">
        <v>2749</v>
      </c>
      <c r="B220" t="s">
        <v>131</v>
      </c>
      <c r="C220" t="s">
        <v>2399</v>
      </c>
      <c r="D220" t="s">
        <v>400</v>
      </c>
    </row>
    <row r="221" spans="1:4" x14ac:dyDescent="0.25">
      <c r="A221" t="s">
        <v>2750</v>
      </c>
      <c r="B221" t="s">
        <v>390</v>
      </c>
      <c r="C221" t="s">
        <v>2357</v>
      </c>
      <c r="D221" t="s">
        <v>400</v>
      </c>
    </row>
    <row r="222" spans="1:4" x14ac:dyDescent="0.25">
      <c r="A222" t="s">
        <v>2751</v>
      </c>
      <c r="B222" t="s">
        <v>400</v>
      </c>
      <c r="C222" t="s">
        <v>2359</v>
      </c>
      <c r="D222" t="s">
        <v>402</v>
      </c>
    </row>
    <row r="223" spans="1:4" x14ac:dyDescent="0.25">
      <c r="A223" t="s">
        <v>2752</v>
      </c>
      <c r="B223" t="s">
        <v>131</v>
      </c>
      <c r="C223" t="s">
        <v>2399</v>
      </c>
      <c r="D223" t="s">
        <v>402</v>
      </c>
    </row>
    <row r="224" spans="1:4" x14ac:dyDescent="0.25">
      <c r="A224" t="s">
        <v>2753</v>
      </c>
      <c r="B224" t="s">
        <v>390</v>
      </c>
      <c r="C224" t="s">
        <v>2357</v>
      </c>
      <c r="D224" t="s">
        <v>402</v>
      </c>
    </row>
    <row r="225" spans="1:4" x14ac:dyDescent="0.25">
      <c r="A225" t="s">
        <v>2754</v>
      </c>
      <c r="B225" t="s">
        <v>402</v>
      </c>
      <c r="C225" t="s">
        <v>2359</v>
      </c>
      <c r="D225" t="s">
        <v>404</v>
      </c>
    </row>
    <row r="226" spans="1:4" x14ac:dyDescent="0.25">
      <c r="A226" t="s">
        <v>2755</v>
      </c>
      <c r="B226" t="s">
        <v>131</v>
      </c>
      <c r="C226" t="s">
        <v>2399</v>
      </c>
      <c r="D226" t="s">
        <v>404</v>
      </c>
    </row>
    <row r="227" spans="1:4" x14ac:dyDescent="0.25">
      <c r="A227" t="s">
        <v>2756</v>
      </c>
      <c r="B227" t="s">
        <v>390</v>
      </c>
      <c r="C227" t="s">
        <v>2357</v>
      </c>
      <c r="D227" t="s">
        <v>404</v>
      </c>
    </row>
    <row r="228" spans="1:4" x14ac:dyDescent="0.25">
      <c r="A228" t="s">
        <v>2757</v>
      </c>
      <c r="B228" t="s">
        <v>404</v>
      </c>
      <c r="C228" t="s">
        <v>2359</v>
      </c>
      <c r="D228" t="s">
        <v>406</v>
      </c>
    </row>
    <row r="229" spans="1:4" x14ac:dyDescent="0.25">
      <c r="A229" t="s">
        <v>2758</v>
      </c>
      <c r="B229" t="s">
        <v>131</v>
      </c>
      <c r="C229" t="s">
        <v>2399</v>
      </c>
      <c r="D229" t="s">
        <v>406</v>
      </c>
    </row>
    <row r="230" spans="1:4" x14ac:dyDescent="0.25">
      <c r="A230" t="s">
        <v>2759</v>
      </c>
      <c r="B230" t="s">
        <v>390</v>
      </c>
      <c r="C230" t="s">
        <v>2357</v>
      </c>
      <c r="D230" t="s">
        <v>406</v>
      </c>
    </row>
    <row r="231" spans="1:4" x14ac:dyDescent="0.25">
      <c r="A231" t="s">
        <v>2760</v>
      </c>
      <c r="B231" t="s">
        <v>406</v>
      </c>
      <c r="C231" t="s">
        <v>2359</v>
      </c>
      <c r="D231" t="s">
        <v>409</v>
      </c>
    </row>
    <row r="232" spans="1:4" x14ac:dyDescent="0.25">
      <c r="A232" t="s">
        <v>2761</v>
      </c>
      <c r="B232" t="s">
        <v>131</v>
      </c>
      <c r="C232" t="s">
        <v>2399</v>
      </c>
      <c r="D232" t="s">
        <v>409</v>
      </c>
    </row>
    <row r="233" spans="1:4" x14ac:dyDescent="0.25">
      <c r="A233" t="s">
        <v>2762</v>
      </c>
      <c r="B233" t="s">
        <v>390</v>
      </c>
      <c r="C233" t="s">
        <v>2357</v>
      </c>
      <c r="D233" t="s">
        <v>409</v>
      </c>
    </row>
    <row r="234" spans="1:4" x14ac:dyDescent="0.25">
      <c r="A234" t="s">
        <v>2763</v>
      </c>
      <c r="B234" t="s">
        <v>409</v>
      </c>
      <c r="C234" t="s">
        <v>2359</v>
      </c>
      <c r="D234" t="s">
        <v>2764</v>
      </c>
    </row>
    <row r="235" spans="1:4" x14ac:dyDescent="0.25">
      <c r="A235" t="s">
        <v>2765</v>
      </c>
      <c r="B235" t="s">
        <v>131</v>
      </c>
      <c r="C235" t="s">
        <v>2399</v>
      </c>
      <c r="D235" t="s">
        <v>2764</v>
      </c>
    </row>
    <row r="236" spans="1:4" x14ac:dyDescent="0.25">
      <c r="A236" t="s">
        <v>2766</v>
      </c>
      <c r="B236" t="s">
        <v>390</v>
      </c>
      <c r="C236" t="s">
        <v>2357</v>
      </c>
      <c r="D236" t="s">
        <v>2764</v>
      </c>
    </row>
    <row r="237" spans="1:4" x14ac:dyDescent="0.25">
      <c r="A237" t="s">
        <v>2767</v>
      </c>
      <c r="B237" t="s">
        <v>409</v>
      </c>
      <c r="C237" t="s">
        <v>2359</v>
      </c>
      <c r="D237" t="s">
        <v>2768</v>
      </c>
    </row>
    <row r="238" spans="1:4" x14ac:dyDescent="0.25">
      <c r="A238" t="s">
        <v>2769</v>
      </c>
      <c r="B238" t="s">
        <v>131</v>
      </c>
      <c r="C238" t="s">
        <v>2399</v>
      </c>
      <c r="D238" t="s">
        <v>2768</v>
      </c>
    </row>
    <row r="239" spans="1:4" x14ac:dyDescent="0.25">
      <c r="A239" t="s">
        <v>2770</v>
      </c>
      <c r="B239" t="s">
        <v>390</v>
      </c>
      <c r="C239" t="s">
        <v>2357</v>
      </c>
      <c r="D239" t="s">
        <v>2768</v>
      </c>
    </row>
    <row r="240" spans="1:4" x14ac:dyDescent="0.25">
      <c r="A240" t="s">
        <v>2771</v>
      </c>
      <c r="B240" t="s">
        <v>2764</v>
      </c>
      <c r="C240" t="s">
        <v>2366</v>
      </c>
      <c r="D240" t="s">
        <v>419</v>
      </c>
    </row>
    <row r="241" spans="1:4" x14ac:dyDescent="0.25">
      <c r="A241" t="s">
        <v>2772</v>
      </c>
      <c r="B241" t="s">
        <v>2768</v>
      </c>
      <c r="C241" t="s">
        <v>2366</v>
      </c>
      <c r="D241" t="s">
        <v>419</v>
      </c>
    </row>
    <row r="242" spans="1:4" x14ac:dyDescent="0.25">
      <c r="A242" t="s">
        <v>2773</v>
      </c>
      <c r="B242" t="s">
        <v>131</v>
      </c>
      <c r="C242" t="s">
        <v>2399</v>
      </c>
      <c r="D242" t="s">
        <v>419</v>
      </c>
    </row>
    <row r="243" spans="1:4" x14ac:dyDescent="0.25">
      <c r="A243" t="s">
        <v>2774</v>
      </c>
      <c r="B243" t="s">
        <v>417</v>
      </c>
      <c r="C243" t="s">
        <v>2357</v>
      </c>
      <c r="D243" t="s">
        <v>419</v>
      </c>
    </row>
    <row r="244" spans="1:4" x14ac:dyDescent="0.25">
      <c r="A244" t="s">
        <v>2775</v>
      </c>
      <c r="B244" t="s">
        <v>419</v>
      </c>
      <c r="C244" t="s">
        <v>2359</v>
      </c>
      <c r="D244" t="s">
        <v>420</v>
      </c>
    </row>
    <row r="245" spans="1:4" x14ac:dyDescent="0.25">
      <c r="A245" t="s">
        <v>2776</v>
      </c>
      <c r="B245" t="s">
        <v>131</v>
      </c>
      <c r="C245" t="s">
        <v>2399</v>
      </c>
      <c r="D245" t="s">
        <v>420</v>
      </c>
    </row>
    <row r="246" spans="1:4" x14ac:dyDescent="0.25">
      <c r="A246" t="s">
        <v>2777</v>
      </c>
      <c r="B246" t="s">
        <v>417</v>
      </c>
      <c r="C246" t="s">
        <v>2357</v>
      </c>
      <c r="D246" t="s">
        <v>420</v>
      </c>
    </row>
    <row r="247" spans="1:4" x14ac:dyDescent="0.25">
      <c r="A247" t="s">
        <v>2778</v>
      </c>
      <c r="B247" t="s">
        <v>420</v>
      </c>
      <c r="C247" t="s">
        <v>2359</v>
      </c>
      <c r="D247" t="s">
        <v>480</v>
      </c>
    </row>
    <row r="248" spans="1:4" x14ac:dyDescent="0.25">
      <c r="A248" t="s">
        <v>2779</v>
      </c>
      <c r="B248" t="s">
        <v>131</v>
      </c>
      <c r="C248" t="s">
        <v>2399</v>
      </c>
      <c r="D248" t="s">
        <v>480</v>
      </c>
    </row>
    <row r="249" spans="1:4" x14ac:dyDescent="0.25">
      <c r="A249" t="s">
        <v>2780</v>
      </c>
      <c r="B249" t="s">
        <v>127</v>
      </c>
      <c r="C249" t="s">
        <v>2359</v>
      </c>
      <c r="D249" t="s">
        <v>380</v>
      </c>
    </row>
    <row r="250" spans="1:4" x14ac:dyDescent="0.25">
      <c r="A250" t="s">
        <v>2781</v>
      </c>
      <c r="B250" t="s">
        <v>131</v>
      </c>
      <c r="C250" t="s">
        <v>2399</v>
      </c>
      <c r="D250" t="s">
        <v>380</v>
      </c>
    </row>
    <row r="251" spans="1:4" x14ac:dyDescent="0.25">
      <c r="A251" t="s">
        <v>2782</v>
      </c>
      <c r="B251" t="s">
        <v>423</v>
      </c>
      <c r="C251" t="s">
        <v>2357</v>
      </c>
      <c r="D251" t="s">
        <v>380</v>
      </c>
    </row>
    <row r="252" spans="1:4" x14ac:dyDescent="0.25">
      <c r="A252" t="s">
        <v>2783</v>
      </c>
      <c r="B252" t="s">
        <v>380</v>
      </c>
      <c r="C252" t="s">
        <v>2359</v>
      </c>
      <c r="D252" t="s">
        <v>426</v>
      </c>
    </row>
    <row r="253" spans="1:4" x14ac:dyDescent="0.25">
      <c r="A253" t="s">
        <v>2784</v>
      </c>
      <c r="B253" t="s">
        <v>131</v>
      </c>
      <c r="C253" t="s">
        <v>2399</v>
      </c>
      <c r="D253" t="s">
        <v>426</v>
      </c>
    </row>
    <row r="254" spans="1:4" x14ac:dyDescent="0.25">
      <c r="A254" t="s">
        <v>2785</v>
      </c>
      <c r="B254" t="s">
        <v>423</v>
      </c>
      <c r="C254" t="s">
        <v>2357</v>
      </c>
      <c r="D254" t="s">
        <v>426</v>
      </c>
    </row>
    <row r="255" spans="1:4" x14ac:dyDescent="0.25">
      <c r="A255" t="s">
        <v>2786</v>
      </c>
      <c r="B255" t="s">
        <v>426</v>
      </c>
      <c r="C255" t="s">
        <v>2359</v>
      </c>
      <c r="D255" t="s">
        <v>427</v>
      </c>
    </row>
    <row r="256" spans="1:4" x14ac:dyDescent="0.25">
      <c r="A256" t="s">
        <v>2787</v>
      </c>
      <c r="B256" t="s">
        <v>131</v>
      </c>
      <c r="C256" t="s">
        <v>2399</v>
      </c>
      <c r="D256" t="s">
        <v>427</v>
      </c>
    </row>
    <row r="257" spans="1:4" x14ac:dyDescent="0.25">
      <c r="A257" t="s">
        <v>2788</v>
      </c>
      <c r="B257" t="s">
        <v>427</v>
      </c>
      <c r="C257" t="s">
        <v>2359</v>
      </c>
      <c r="D257" t="s">
        <v>2789</v>
      </c>
    </row>
    <row r="258" spans="1:4" x14ac:dyDescent="0.25">
      <c r="A258" t="s">
        <v>2790</v>
      </c>
      <c r="B258" t="s">
        <v>131</v>
      </c>
      <c r="C258" t="s">
        <v>2399</v>
      </c>
      <c r="D258" t="s">
        <v>2789</v>
      </c>
    </row>
    <row r="259" spans="1:4" x14ac:dyDescent="0.25">
      <c r="A259" t="s">
        <v>2791</v>
      </c>
      <c r="B259" t="s">
        <v>227</v>
      </c>
      <c r="C259" t="s">
        <v>2359</v>
      </c>
      <c r="D259" t="s">
        <v>431</v>
      </c>
    </row>
    <row r="260" spans="1:4" x14ac:dyDescent="0.25">
      <c r="A260" t="s">
        <v>2792</v>
      </c>
      <c r="B260" t="s">
        <v>430</v>
      </c>
      <c r="C260" t="s">
        <v>2357</v>
      </c>
      <c r="D260" t="s">
        <v>431</v>
      </c>
    </row>
    <row r="261" spans="1:4" x14ac:dyDescent="0.25">
      <c r="A261" t="s">
        <v>2793</v>
      </c>
      <c r="B261" t="s">
        <v>431</v>
      </c>
      <c r="C261" t="s">
        <v>2359</v>
      </c>
      <c r="D261" t="s">
        <v>389</v>
      </c>
    </row>
    <row r="262" spans="1:4" x14ac:dyDescent="0.25">
      <c r="A262" t="s">
        <v>2794</v>
      </c>
      <c r="B262" t="s">
        <v>430</v>
      </c>
      <c r="C262" t="s">
        <v>2357</v>
      </c>
      <c r="D262" t="s">
        <v>389</v>
      </c>
    </row>
    <row r="263" spans="1:4" x14ac:dyDescent="0.25">
      <c r="A263" t="s">
        <v>2795</v>
      </c>
      <c r="B263" t="s">
        <v>127</v>
      </c>
      <c r="C263" t="s">
        <v>2359</v>
      </c>
      <c r="D263" t="s">
        <v>435</v>
      </c>
    </row>
    <row r="264" spans="1:4" x14ac:dyDescent="0.25">
      <c r="A264" t="s">
        <v>2796</v>
      </c>
      <c r="B264" t="s">
        <v>434</v>
      </c>
      <c r="C264" t="s">
        <v>2357</v>
      </c>
      <c r="D264" t="s">
        <v>435</v>
      </c>
    </row>
    <row r="265" spans="1:4" x14ac:dyDescent="0.25">
      <c r="A265" t="s">
        <v>2797</v>
      </c>
      <c r="B265" t="s">
        <v>435</v>
      </c>
      <c r="C265" t="s">
        <v>2359</v>
      </c>
      <c r="D265" t="s">
        <v>2798</v>
      </c>
    </row>
    <row r="266" spans="1:4" x14ac:dyDescent="0.25">
      <c r="A266" t="s">
        <v>2799</v>
      </c>
      <c r="B266" t="s">
        <v>434</v>
      </c>
      <c r="C266" t="s">
        <v>2357</v>
      </c>
      <c r="D266" t="s">
        <v>2798</v>
      </c>
    </row>
    <row r="267" spans="1:4" x14ac:dyDescent="0.25">
      <c r="A267" t="s">
        <v>2800</v>
      </c>
      <c r="B267" t="s">
        <v>2764</v>
      </c>
      <c r="C267" t="s">
        <v>2366</v>
      </c>
      <c r="D267" t="s">
        <v>440</v>
      </c>
    </row>
    <row r="268" spans="1:4" x14ac:dyDescent="0.25">
      <c r="A268" t="s">
        <v>2801</v>
      </c>
      <c r="B268" t="s">
        <v>2768</v>
      </c>
      <c r="C268" t="s">
        <v>2366</v>
      </c>
      <c r="D268" t="s">
        <v>440</v>
      </c>
    </row>
    <row r="269" spans="1:4" x14ac:dyDescent="0.25">
      <c r="A269" t="s">
        <v>2802</v>
      </c>
      <c r="B269" t="s">
        <v>438</v>
      </c>
      <c r="C269" t="s">
        <v>2357</v>
      </c>
      <c r="D269" t="s">
        <v>440</v>
      </c>
    </row>
    <row r="270" spans="1:4" x14ac:dyDescent="0.25">
      <c r="A270" t="s">
        <v>2803</v>
      </c>
      <c r="B270" t="s">
        <v>440</v>
      </c>
      <c r="C270" t="s">
        <v>2359</v>
      </c>
      <c r="D270" t="s">
        <v>441</v>
      </c>
    </row>
    <row r="271" spans="1:4" x14ac:dyDescent="0.25">
      <c r="A271" t="s">
        <v>2804</v>
      </c>
      <c r="B271" t="s">
        <v>438</v>
      </c>
      <c r="C271" t="s">
        <v>2357</v>
      </c>
      <c r="D271" t="s">
        <v>441</v>
      </c>
    </row>
    <row r="272" spans="1:4" x14ac:dyDescent="0.25">
      <c r="A272" t="s">
        <v>2805</v>
      </c>
      <c r="B272" t="s">
        <v>441</v>
      </c>
      <c r="C272" t="s">
        <v>2359</v>
      </c>
      <c r="D272" t="s">
        <v>2806</v>
      </c>
    </row>
    <row r="273" spans="1:4" x14ac:dyDescent="0.25">
      <c r="A273" t="s">
        <v>2807</v>
      </c>
      <c r="B273" t="s">
        <v>127</v>
      </c>
      <c r="C273" t="s">
        <v>2359</v>
      </c>
      <c r="D273" t="s">
        <v>446</v>
      </c>
    </row>
    <row r="274" spans="1:4" x14ac:dyDescent="0.25">
      <c r="A274" t="s">
        <v>2808</v>
      </c>
      <c r="B274" t="s">
        <v>444</v>
      </c>
      <c r="C274" t="s">
        <v>2357</v>
      </c>
      <c r="D274" t="s">
        <v>446</v>
      </c>
    </row>
    <row r="275" spans="1:4" x14ac:dyDescent="0.25">
      <c r="A275" t="s">
        <v>2809</v>
      </c>
      <c r="B275" t="s">
        <v>446</v>
      </c>
      <c r="C275" t="s">
        <v>2359</v>
      </c>
      <c r="D275" t="s">
        <v>450</v>
      </c>
    </row>
    <row r="276" spans="1:4" x14ac:dyDescent="0.25">
      <c r="A276" t="s">
        <v>2810</v>
      </c>
      <c r="B276" t="s">
        <v>444</v>
      </c>
      <c r="C276" t="s">
        <v>2357</v>
      </c>
      <c r="D276" t="s">
        <v>450</v>
      </c>
    </row>
    <row r="277" spans="1:4" x14ac:dyDescent="0.25">
      <c r="A277" t="s">
        <v>2811</v>
      </c>
      <c r="B277" t="s">
        <v>450</v>
      </c>
      <c r="C277" t="s">
        <v>2359</v>
      </c>
      <c r="D277" t="s">
        <v>2812</v>
      </c>
    </row>
    <row r="278" spans="1:4" x14ac:dyDescent="0.25">
      <c r="A278" t="s">
        <v>2813</v>
      </c>
      <c r="B278" t="s">
        <v>444</v>
      </c>
      <c r="C278" t="s">
        <v>2357</v>
      </c>
      <c r="D278" t="s">
        <v>2812</v>
      </c>
    </row>
    <row r="279" spans="1:4" x14ac:dyDescent="0.25">
      <c r="A279" t="s">
        <v>2814</v>
      </c>
      <c r="B279" t="s">
        <v>450</v>
      </c>
      <c r="C279" t="s">
        <v>2359</v>
      </c>
      <c r="D279" t="s">
        <v>2815</v>
      </c>
    </row>
    <row r="280" spans="1:4" x14ac:dyDescent="0.25">
      <c r="A280" t="s">
        <v>2816</v>
      </c>
      <c r="B280" t="s">
        <v>444</v>
      </c>
      <c r="C280" t="s">
        <v>2357</v>
      </c>
      <c r="D280" t="s">
        <v>2815</v>
      </c>
    </row>
    <row r="281" spans="1:4" x14ac:dyDescent="0.25">
      <c r="A281" t="s">
        <v>2817</v>
      </c>
      <c r="B281" t="s">
        <v>446</v>
      </c>
      <c r="C281" t="s">
        <v>2359</v>
      </c>
      <c r="D281" t="s">
        <v>2818</v>
      </c>
    </row>
    <row r="282" spans="1:4" x14ac:dyDescent="0.25">
      <c r="A282" t="s">
        <v>2819</v>
      </c>
      <c r="B282" t="s">
        <v>444</v>
      </c>
      <c r="C282" t="s">
        <v>2357</v>
      </c>
      <c r="D282" t="s">
        <v>2818</v>
      </c>
    </row>
    <row r="283" spans="1:4" x14ac:dyDescent="0.25">
      <c r="A283" t="s">
        <v>2820</v>
      </c>
      <c r="B283" t="s">
        <v>127</v>
      </c>
      <c r="C283" t="s">
        <v>2359</v>
      </c>
      <c r="D283" t="s">
        <v>462</v>
      </c>
    </row>
    <row r="284" spans="1:4" x14ac:dyDescent="0.25">
      <c r="A284" t="s">
        <v>2821</v>
      </c>
      <c r="B284" t="s">
        <v>460</v>
      </c>
      <c r="C284" t="s">
        <v>2357</v>
      </c>
      <c r="D284" t="s">
        <v>462</v>
      </c>
    </row>
    <row r="285" spans="1:4" x14ac:dyDescent="0.25">
      <c r="A285" t="s">
        <v>2822</v>
      </c>
      <c r="B285" t="s">
        <v>462</v>
      </c>
      <c r="C285" t="s">
        <v>2359</v>
      </c>
      <c r="D285" t="s">
        <v>464</v>
      </c>
    </row>
    <row r="286" spans="1:4" x14ac:dyDescent="0.25">
      <c r="A286" t="s">
        <v>2823</v>
      </c>
      <c r="B286" t="s">
        <v>460</v>
      </c>
      <c r="C286" t="s">
        <v>2357</v>
      </c>
      <c r="D286" t="s">
        <v>464</v>
      </c>
    </row>
    <row r="287" spans="1:4" x14ac:dyDescent="0.25">
      <c r="A287" t="s">
        <v>2824</v>
      </c>
      <c r="B287" t="s">
        <v>464</v>
      </c>
      <c r="C287" t="s">
        <v>2359</v>
      </c>
      <c r="D287" t="s">
        <v>466</v>
      </c>
    </row>
    <row r="288" spans="1:4" x14ac:dyDescent="0.25">
      <c r="A288" t="s">
        <v>2825</v>
      </c>
      <c r="B288" t="s">
        <v>460</v>
      </c>
      <c r="C288" t="s">
        <v>2357</v>
      </c>
      <c r="D288" t="s">
        <v>466</v>
      </c>
    </row>
    <row r="289" spans="1:4" x14ac:dyDescent="0.25">
      <c r="A289" t="s">
        <v>2826</v>
      </c>
      <c r="B289" t="s">
        <v>466</v>
      </c>
      <c r="C289" t="s">
        <v>2359</v>
      </c>
      <c r="D289" t="s">
        <v>2827</v>
      </c>
    </row>
    <row r="290" spans="1:4" x14ac:dyDescent="0.25">
      <c r="A290" t="s">
        <v>2828</v>
      </c>
      <c r="B290" t="s">
        <v>460</v>
      </c>
      <c r="C290" t="s">
        <v>2357</v>
      </c>
      <c r="D290" t="s">
        <v>2827</v>
      </c>
    </row>
    <row r="291" spans="1:4" x14ac:dyDescent="0.25">
      <c r="A291" t="s">
        <v>2829</v>
      </c>
      <c r="B291" t="s">
        <v>466</v>
      </c>
      <c r="C291" t="s">
        <v>2359</v>
      </c>
      <c r="D291" t="s">
        <v>2830</v>
      </c>
    </row>
    <row r="292" spans="1:4" x14ac:dyDescent="0.25">
      <c r="A292" t="s">
        <v>2831</v>
      </c>
      <c r="B292" t="s">
        <v>460</v>
      </c>
      <c r="C292" t="s">
        <v>2357</v>
      </c>
      <c r="D292" t="s">
        <v>2830</v>
      </c>
    </row>
    <row r="293" spans="1:4" x14ac:dyDescent="0.25">
      <c r="A293" t="s">
        <v>2832</v>
      </c>
      <c r="B293" t="s">
        <v>127</v>
      </c>
      <c r="C293" t="s">
        <v>2359</v>
      </c>
      <c r="D293" t="s">
        <v>473</v>
      </c>
    </row>
    <row r="294" spans="1:4" x14ac:dyDescent="0.25">
      <c r="A294" t="s">
        <v>2833</v>
      </c>
      <c r="B294" t="s">
        <v>472</v>
      </c>
      <c r="C294" t="s">
        <v>2357</v>
      </c>
      <c r="D294" t="s">
        <v>473</v>
      </c>
    </row>
    <row r="295" spans="1:4" x14ac:dyDescent="0.25">
      <c r="A295" t="s">
        <v>2834</v>
      </c>
      <c r="B295" t="s">
        <v>473</v>
      </c>
      <c r="C295" t="s">
        <v>2359</v>
      </c>
      <c r="D295" t="s">
        <v>2835</v>
      </c>
    </row>
    <row r="296" spans="1:4" x14ac:dyDescent="0.25">
      <c r="A296" t="s">
        <v>2836</v>
      </c>
      <c r="B296" t="s">
        <v>472</v>
      </c>
      <c r="C296" t="s">
        <v>2357</v>
      </c>
      <c r="D296" t="s">
        <v>2835</v>
      </c>
    </row>
    <row r="297" spans="1:4" x14ac:dyDescent="0.25">
      <c r="A297" t="s">
        <v>2837</v>
      </c>
      <c r="B297" t="s">
        <v>127</v>
      </c>
      <c r="C297" t="s">
        <v>2359</v>
      </c>
      <c r="D297" t="s">
        <v>477</v>
      </c>
    </row>
    <row r="298" spans="1:4" x14ac:dyDescent="0.25">
      <c r="A298" t="s">
        <v>2838</v>
      </c>
      <c r="B298" t="s">
        <v>476</v>
      </c>
      <c r="C298" t="s">
        <v>2357</v>
      </c>
      <c r="D298" t="s">
        <v>477</v>
      </c>
    </row>
    <row r="299" spans="1:4" x14ac:dyDescent="0.25">
      <c r="A299" t="s">
        <v>2839</v>
      </c>
      <c r="B299" t="s">
        <v>477</v>
      </c>
      <c r="C299" t="s">
        <v>2359</v>
      </c>
      <c r="D299" t="s">
        <v>2840</v>
      </c>
    </row>
    <row r="300" spans="1:4" x14ac:dyDescent="0.25">
      <c r="A300" t="s">
        <v>2841</v>
      </c>
      <c r="B300" t="s">
        <v>476</v>
      </c>
      <c r="C300" t="s">
        <v>2357</v>
      </c>
      <c r="D300" t="s">
        <v>2840</v>
      </c>
    </row>
    <row r="301" spans="1:4" x14ac:dyDescent="0.25">
      <c r="A301" t="s">
        <v>2842</v>
      </c>
      <c r="B301" t="s">
        <v>480</v>
      </c>
      <c r="C301" t="s">
        <v>2359</v>
      </c>
      <c r="D301" t="s">
        <v>483</v>
      </c>
    </row>
    <row r="302" spans="1:4" x14ac:dyDescent="0.25">
      <c r="A302" t="s">
        <v>2843</v>
      </c>
      <c r="B302" t="s">
        <v>131</v>
      </c>
      <c r="C302" t="s">
        <v>2399</v>
      </c>
      <c r="D302" t="s">
        <v>483</v>
      </c>
    </row>
    <row r="303" spans="1:4" x14ac:dyDescent="0.25">
      <c r="A303" t="s">
        <v>2844</v>
      </c>
      <c r="B303" t="s">
        <v>481</v>
      </c>
      <c r="C303" t="s">
        <v>2357</v>
      </c>
      <c r="D303" t="s">
        <v>483</v>
      </c>
    </row>
    <row r="304" spans="1:4" x14ac:dyDescent="0.25">
      <c r="A304" t="s">
        <v>2845</v>
      </c>
      <c r="B304" t="s">
        <v>483</v>
      </c>
      <c r="C304" t="s">
        <v>2359</v>
      </c>
      <c r="D304" t="s">
        <v>485</v>
      </c>
    </row>
    <row r="305" spans="1:4" x14ac:dyDescent="0.25">
      <c r="A305" t="s">
        <v>2846</v>
      </c>
      <c r="B305" t="s">
        <v>131</v>
      </c>
      <c r="C305" t="s">
        <v>2399</v>
      </c>
      <c r="D305" t="s">
        <v>485</v>
      </c>
    </row>
    <row r="306" spans="1:4" x14ac:dyDescent="0.25">
      <c r="A306" t="s">
        <v>2847</v>
      </c>
      <c r="B306" t="s">
        <v>481</v>
      </c>
      <c r="C306" t="s">
        <v>2357</v>
      </c>
      <c r="D306" t="s">
        <v>485</v>
      </c>
    </row>
    <row r="307" spans="1:4" x14ac:dyDescent="0.25">
      <c r="A307" t="s">
        <v>2848</v>
      </c>
      <c r="B307" t="s">
        <v>485</v>
      </c>
      <c r="C307" t="s">
        <v>2359</v>
      </c>
      <c r="D307" t="s">
        <v>2849</v>
      </c>
    </row>
    <row r="308" spans="1:4" x14ac:dyDescent="0.25">
      <c r="A308" t="s">
        <v>2850</v>
      </c>
      <c r="B308" t="s">
        <v>485</v>
      </c>
      <c r="C308" t="s">
        <v>2359</v>
      </c>
      <c r="D308" t="s">
        <v>2851</v>
      </c>
    </row>
    <row r="309" spans="1:4" x14ac:dyDescent="0.25">
      <c r="A309" t="s">
        <v>2852</v>
      </c>
      <c r="B309" t="s">
        <v>485</v>
      </c>
      <c r="C309" t="s">
        <v>2359</v>
      </c>
      <c r="D309" t="s">
        <v>2853</v>
      </c>
    </row>
    <row r="310" spans="1:4" x14ac:dyDescent="0.25">
      <c r="A310" t="s">
        <v>2854</v>
      </c>
      <c r="B310" t="s">
        <v>127</v>
      </c>
      <c r="C310" t="s">
        <v>2359</v>
      </c>
      <c r="D310" t="s">
        <v>494</v>
      </c>
    </row>
    <row r="311" spans="1:4" x14ac:dyDescent="0.25">
      <c r="A311" t="s">
        <v>2855</v>
      </c>
      <c r="B311" t="s">
        <v>493</v>
      </c>
      <c r="C311" t="s">
        <v>2357</v>
      </c>
      <c r="D311" t="s">
        <v>494</v>
      </c>
    </row>
    <row r="312" spans="1:4" x14ac:dyDescent="0.25">
      <c r="A312" t="s">
        <v>2856</v>
      </c>
      <c r="B312" t="s">
        <v>494</v>
      </c>
      <c r="C312" t="s">
        <v>2359</v>
      </c>
      <c r="D312" t="s">
        <v>2857</v>
      </c>
    </row>
    <row r="313" spans="1:4" x14ac:dyDescent="0.25">
      <c r="A313" t="s">
        <v>2858</v>
      </c>
      <c r="B313" t="s">
        <v>493</v>
      </c>
      <c r="C313" t="s">
        <v>2357</v>
      </c>
      <c r="D313" t="s">
        <v>2857</v>
      </c>
    </row>
    <row r="314" spans="1:4" x14ac:dyDescent="0.25">
      <c r="A314" t="s">
        <v>2859</v>
      </c>
      <c r="B314" t="s">
        <v>127</v>
      </c>
      <c r="C314" t="s">
        <v>2359</v>
      </c>
      <c r="D314" t="s">
        <v>499</v>
      </c>
    </row>
    <row r="315" spans="1:4" x14ac:dyDescent="0.25">
      <c r="A315" t="s">
        <v>2860</v>
      </c>
      <c r="B315" t="s">
        <v>497</v>
      </c>
      <c r="C315" t="s">
        <v>2357</v>
      </c>
      <c r="D315" t="s">
        <v>499</v>
      </c>
    </row>
    <row r="316" spans="1:4" x14ac:dyDescent="0.25">
      <c r="A316" t="s">
        <v>2861</v>
      </c>
      <c r="B316" t="s">
        <v>499</v>
      </c>
      <c r="C316" t="s">
        <v>2359</v>
      </c>
      <c r="D316" t="s">
        <v>501</v>
      </c>
    </row>
    <row r="317" spans="1:4" x14ac:dyDescent="0.25">
      <c r="A317" t="s">
        <v>2862</v>
      </c>
      <c r="B317" t="s">
        <v>497</v>
      </c>
      <c r="C317" t="s">
        <v>2357</v>
      </c>
      <c r="D317" t="s">
        <v>501</v>
      </c>
    </row>
    <row r="318" spans="1:4" x14ac:dyDescent="0.25">
      <c r="A318" t="s">
        <v>2863</v>
      </c>
      <c r="B318" t="s">
        <v>501</v>
      </c>
      <c r="C318" t="s">
        <v>2359</v>
      </c>
      <c r="D318" t="s">
        <v>502</v>
      </c>
    </row>
    <row r="319" spans="1:4" x14ac:dyDescent="0.25">
      <c r="A319" t="s">
        <v>2864</v>
      </c>
      <c r="B319" t="s">
        <v>502</v>
      </c>
      <c r="C319" t="s">
        <v>2359</v>
      </c>
      <c r="D319" t="s">
        <v>2865</v>
      </c>
    </row>
    <row r="320" spans="1:4" x14ac:dyDescent="0.25">
      <c r="A320" t="s">
        <v>2866</v>
      </c>
      <c r="B320" t="s">
        <v>505</v>
      </c>
      <c r="C320" t="s">
        <v>2359</v>
      </c>
      <c r="D320" t="s">
        <v>508</v>
      </c>
    </row>
    <row r="321" spans="1:4" x14ac:dyDescent="0.25">
      <c r="A321" t="s">
        <v>2867</v>
      </c>
      <c r="B321" t="s">
        <v>131</v>
      </c>
      <c r="C321" t="s">
        <v>2399</v>
      </c>
      <c r="D321" t="s">
        <v>508</v>
      </c>
    </row>
    <row r="322" spans="1:4" x14ac:dyDescent="0.25">
      <c r="A322" t="s">
        <v>2868</v>
      </c>
      <c r="B322" t="s">
        <v>506</v>
      </c>
      <c r="C322" t="s">
        <v>2357</v>
      </c>
      <c r="D322" t="s">
        <v>508</v>
      </c>
    </row>
    <row r="323" spans="1:4" x14ac:dyDescent="0.25">
      <c r="A323" t="s">
        <v>2869</v>
      </c>
      <c r="B323" t="s">
        <v>508</v>
      </c>
      <c r="C323" t="s">
        <v>2359</v>
      </c>
      <c r="D323" t="s">
        <v>510</v>
      </c>
    </row>
    <row r="324" spans="1:4" x14ac:dyDescent="0.25">
      <c r="A324" t="s">
        <v>2870</v>
      </c>
      <c r="B324" t="s">
        <v>131</v>
      </c>
      <c r="C324" t="s">
        <v>2399</v>
      </c>
      <c r="D324" t="s">
        <v>510</v>
      </c>
    </row>
    <row r="325" spans="1:4" x14ac:dyDescent="0.25">
      <c r="A325" t="s">
        <v>2871</v>
      </c>
      <c r="B325" t="s">
        <v>506</v>
      </c>
      <c r="C325" t="s">
        <v>2357</v>
      </c>
      <c r="D325" t="s">
        <v>510</v>
      </c>
    </row>
    <row r="326" spans="1:4" x14ac:dyDescent="0.25">
      <c r="A326" t="s">
        <v>2872</v>
      </c>
      <c r="B326" t="s">
        <v>510</v>
      </c>
      <c r="C326" t="s">
        <v>2359</v>
      </c>
      <c r="D326" t="s">
        <v>2873</v>
      </c>
    </row>
    <row r="327" spans="1:4" x14ac:dyDescent="0.25">
      <c r="A327" t="s">
        <v>2874</v>
      </c>
      <c r="B327" t="s">
        <v>131</v>
      </c>
      <c r="C327" t="s">
        <v>2399</v>
      </c>
      <c r="D327" t="s">
        <v>2873</v>
      </c>
    </row>
    <row r="328" spans="1:4" x14ac:dyDescent="0.25">
      <c r="A328" t="s">
        <v>2875</v>
      </c>
      <c r="B328" t="s">
        <v>510</v>
      </c>
      <c r="C328" t="s">
        <v>2359</v>
      </c>
      <c r="D328" t="s">
        <v>2876</v>
      </c>
    </row>
    <row r="329" spans="1:4" x14ac:dyDescent="0.25">
      <c r="A329" t="s">
        <v>2877</v>
      </c>
      <c r="B329" t="s">
        <v>131</v>
      </c>
      <c r="C329" t="s">
        <v>2399</v>
      </c>
      <c r="D329" t="s">
        <v>2876</v>
      </c>
    </row>
    <row r="330" spans="1:4" x14ac:dyDescent="0.25">
      <c r="A330" t="s">
        <v>2878</v>
      </c>
      <c r="B330" t="s">
        <v>127</v>
      </c>
      <c r="C330" t="s">
        <v>2359</v>
      </c>
      <c r="D330" t="s">
        <v>517</v>
      </c>
    </row>
    <row r="331" spans="1:4" x14ac:dyDescent="0.25">
      <c r="A331" t="s">
        <v>2879</v>
      </c>
      <c r="B331" t="s">
        <v>515</v>
      </c>
      <c r="C331" t="s">
        <v>2357</v>
      </c>
      <c r="D331" t="s">
        <v>517</v>
      </c>
    </row>
    <row r="332" spans="1:4" x14ac:dyDescent="0.25">
      <c r="A332" t="s">
        <v>2880</v>
      </c>
      <c r="B332" t="s">
        <v>517</v>
      </c>
      <c r="C332" t="s">
        <v>2359</v>
      </c>
      <c r="D332" t="s">
        <v>2881</v>
      </c>
    </row>
    <row r="333" spans="1:4" x14ac:dyDescent="0.25">
      <c r="A333" t="s">
        <v>2882</v>
      </c>
      <c r="B333" t="s">
        <v>515</v>
      </c>
      <c r="C333" t="s">
        <v>2357</v>
      </c>
      <c r="D333" t="s">
        <v>2881</v>
      </c>
    </row>
    <row r="334" spans="1:4" x14ac:dyDescent="0.25">
      <c r="A334" t="s">
        <v>2883</v>
      </c>
      <c r="B334" t="s">
        <v>517</v>
      </c>
      <c r="C334" t="s">
        <v>2359</v>
      </c>
      <c r="D334" t="s">
        <v>2884</v>
      </c>
    </row>
    <row r="335" spans="1:4" x14ac:dyDescent="0.25">
      <c r="A335" t="s">
        <v>2885</v>
      </c>
      <c r="B335" t="s">
        <v>515</v>
      </c>
      <c r="C335" t="s">
        <v>2357</v>
      </c>
      <c r="D335" t="s">
        <v>2884</v>
      </c>
    </row>
    <row r="336" spans="1:4" x14ac:dyDescent="0.25">
      <c r="A336" t="s">
        <v>2886</v>
      </c>
      <c r="B336" t="s">
        <v>127</v>
      </c>
      <c r="C336" t="s">
        <v>2359</v>
      </c>
      <c r="D336" t="s">
        <v>525</v>
      </c>
    </row>
    <row r="337" spans="1:4" x14ac:dyDescent="0.25">
      <c r="A337" t="s">
        <v>2887</v>
      </c>
      <c r="B337" t="s">
        <v>523</v>
      </c>
      <c r="C337" t="s">
        <v>2357</v>
      </c>
      <c r="D337" t="s">
        <v>525</v>
      </c>
    </row>
    <row r="338" spans="1:4" x14ac:dyDescent="0.25">
      <c r="A338" t="s">
        <v>2888</v>
      </c>
      <c r="B338" t="s">
        <v>525</v>
      </c>
      <c r="C338" t="s">
        <v>2359</v>
      </c>
      <c r="D338" t="s">
        <v>527</v>
      </c>
    </row>
    <row r="339" spans="1:4" x14ac:dyDescent="0.25">
      <c r="A339" t="s">
        <v>2889</v>
      </c>
      <c r="B339" t="s">
        <v>523</v>
      </c>
      <c r="C339" t="s">
        <v>2357</v>
      </c>
      <c r="D339" t="s">
        <v>527</v>
      </c>
    </row>
    <row r="340" spans="1:4" x14ac:dyDescent="0.25">
      <c r="A340" t="s">
        <v>2890</v>
      </c>
      <c r="B340" t="s">
        <v>527</v>
      </c>
      <c r="C340" t="s">
        <v>2359</v>
      </c>
      <c r="D340" t="s">
        <v>529</v>
      </c>
    </row>
    <row r="341" spans="1:4" x14ac:dyDescent="0.25">
      <c r="A341" t="s">
        <v>2891</v>
      </c>
      <c r="B341" t="s">
        <v>529</v>
      </c>
      <c r="C341" t="s">
        <v>2359</v>
      </c>
      <c r="D341" t="s">
        <v>2892</v>
      </c>
    </row>
    <row r="342" spans="1:4" x14ac:dyDescent="0.25">
      <c r="A342" t="s">
        <v>2893</v>
      </c>
      <c r="B342" t="s">
        <v>127</v>
      </c>
      <c r="C342" t="s">
        <v>2359</v>
      </c>
      <c r="D342" t="s">
        <v>533</v>
      </c>
    </row>
    <row r="343" spans="1:4" x14ac:dyDescent="0.25">
      <c r="A343" t="s">
        <v>2894</v>
      </c>
      <c r="B343" t="s">
        <v>532</v>
      </c>
      <c r="C343" t="s">
        <v>2357</v>
      </c>
      <c r="D343" t="s">
        <v>533</v>
      </c>
    </row>
    <row r="344" spans="1:4" x14ac:dyDescent="0.25">
      <c r="A344" t="s">
        <v>2895</v>
      </c>
      <c r="B344" t="s">
        <v>533</v>
      </c>
      <c r="C344" t="s">
        <v>2359</v>
      </c>
      <c r="D344" t="s">
        <v>2896</v>
      </c>
    </row>
    <row r="345" spans="1:4" x14ac:dyDescent="0.25">
      <c r="A345" t="s">
        <v>2897</v>
      </c>
      <c r="B345" t="s">
        <v>532</v>
      </c>
      <c r="C345" t="s">
        <v>2357</v>
      </c>
      <c r="D345" t="s">
        <v>2896</v>
      </c>
    </row>
    <row r="346" spans="1:4" x14ac:dyDescent="0.25">
      <c r="A346" t="s">
        <v>2898</v>
      </c>
      <c r="B346" t="s">
        <v>536</v>
      </c>
      <c r="C346" t="s">
        <v>2359</v>
      </c>
      <c r="D346" t="s">
        <v>539</v>
      </c>
    </row>
    <row r="347" spans="1:4" x14ac:dyDescent="0.25">
      <c r="A347" t="s">
        <v>2899</v>
      </c>
      <c r="B347" t="s">
        <v>537</v>
      </c>
      <c r="C347" t="s">
        <v>2357</v>
      </c>
      <c r="D347" t="s">
        <v>539</v>
      </c>
    </row>
    <row r="348" spans="1:4" x14ac:dyDescent="0.25">
      <c r="A348" t="s">
        <v>2900</v>
      </c>
      <c r="B348" t="s">
        <v>539</v>
      </c>
      <c r="C348" t="s">
        <v>2359</v>
      </c>
      <c r="D348" t="s">
        <v>540</v>
      </c>
    </row>
    <row r="349" spans="1:4" x14ac:dyDescent="0.25">
      <c r="A349" t="s">
        <v>2901</v>
      </c>
      <c r="B349" t="s">
        <v>537</v>
      </c>
      <c r="C349" t="s">
        <v>2357</v>
      </c>
      <c r="D349" t="s">
        <v>540</v>
      </c>
    </row>
    <row r="350" spans="1:4" x14ac:dyDescent="0.25">
      <c r="A350" t="s">
        <v>2902</v>
      </c>
      <c r="B350" t="s">
        <v>540</v>
      </c>
      <c r="C350" t="s">
        <v>2359</v>
      </c>
      <c r="D350" t="s">
        <v>2903</v>
      </c>
    </row>
    <row r="351" spans="1:4" x14ac:dyDescent="0.25">
      <c r="A351" t="s">
        <v>2904</v>
      </c>
      <c r="B351" t="s">
        <v>127</v>
      </c>
      <c r="C351" t="s">
        <v>2359</v>
      </c>
      <c r="D351" t="s">
        <v>545</v>
      </c>
    </row>
    <row r="352" spans="1:4" x14ac:dyDescent="0.25">
      <c r="A352" t="s">
        <v>2905</v>
      </c>
      <c r="B352" t="s">
        <v>545</v>
      </c>
      <c r="C352" t="s">
        <v>2359</v>
      </c>
      <c r="D352" t="s">
        <v>547</v>
      </c>
    </row>
    <row r="353" spans="1:4" x14ac:dyDescent="0.25">
      <c r="A353" t="s">
        <v>2906</v>
      </c>
      <c r="B353" t="s">
        <v>547</v>
      </c>
      <c r="C353" t="s">
        <v>2359</v>
      </c>
      <c r="D353" t="s">
        <v>549</v>
      </c>
    </row>
    <row r="354" spans="1:4" x14ac:dyDescent="0.25">
      <c r="A354" t="s">
        <v>2907</v>
      </c>
      <c r="B354" t="s">
        <v>549</v>
      </c>
      <c r="C354" t="s">
        <v>2359</v>
      </c>
      <c r="D354" t="s">
        <v>2908</v>
      </c>
    </row>
    <row r="355" spans="1:4" x14ac:dyDescent="0.25">
      <c r="A355" t="s">
        <v>2909</v>
      </c>
      <c r="B355" t="s">
        <v>127</v>
      </c>
      <c r="C355" t="s">
        <v>2359</v>
      </c>
      <c r="D355" t="s">
        <v>553</v>
      </c>
    </row>
    <row r="356" spans="1:4" x14ac:dyDescent="0.25">
      <c r="A356" t="s">
        <v>2910</v>
      </c>
      <c r="B356" t="s">
        <v>552</v>
      </c>
      <c r="C356" t="s">
        <v>2357</v>
      </c>
      <c r="D356" t="s">
        <v>553</v>
      </c>
    </row>
    <row r="357" spans="1:4" x14ac:dyDescent="0.25">
      <c r="A357" t="s">
        <v>2911</v>
      </c>
      <c r="B357" t="s">
        <v>553</v>
      </c>
      <c r="C357" t="s">
        <v>2359</v>
      </c>
      <c r="D357" t="s">
        <v>2912</v>
      </c>
    </row>
    <row r="358" spans="1:4" x14ac:dyDescent="0.25">
      <c r="A358" t="s">
        <v>2913</v>
      </c>
      <c r="B358" t="s">
        <v>552</v>
      </c>
      <c r="C358" t="s">
        <v>2357</v>
      </c>
      <c r="D358" t="s">
        <v>2912</v>
      </c>
    </row>
    <row r="359" spans="1:4" x14ac:dyDescent="0.25">
      <c r="A359" t="s">
        <v>2914</v>
      </c>
      <c r="B359" t="s">
        <v>127</v>
      </c>
      <c r="C359" t="s">
        <v>2359</v>
      </c>
      <c r="D359" t="s">
        <v>557</v>
      </c>
    </row>
    <row r="360" spans="1:4" x14ac:dyDescent="0.25">
      <c r="A360" t="s">
        <v>2915</v>
      </c>
      <c r="B360" t="s">
        <v>556</v>
      </c>
      <c r="C360" t="s">
        <v>2357</v>
      </c>
      <c r="D360" t="s">
        <v>557</v>
      </c>
    </row>
    <row r="361" spans="1:4" x14ac:dyDescent="0.25">
      <c r="A361" t="s">
        <v>2916</v>
      </c>
      <c r="B361" t="s">
        <v>557</v>
      </c>
      <c r="C361" t="s">
        <v>2359</v>
      </c>
      <c r="D361" t="s">
        <v>2917</v>
      </c>
    </row>
    <row r="362" spans="1:4" x14ac:dyDescent="0.25">
      <c r="A362" t="s">
        <v>2918</v>
      </c>
      <c r="B362" t="s">
        <v>556</v>
      </c>
      <c r="C362" t="s">
        <v>2357</v>
      </c>
      <c r="D362" t="s">
        <v>2917</v>
      </c>
    </row>
    <row r="363" spans="1:4" x14ac:dyDescent="0.25">
      <c r="A363" t="s">
        <v>2919</v>
      </c>
      <c r="B363" t="s">
        <v>127</v>
      </c>
      <c r="C363" t="s">
        <v>2359</v>
      </c>
      <c r="D363" t="s">
        <v>561</v>
      </c>
    </row>
    <row r="364" spans="1:4" x14ac:dyDescent="0.25">
      <c r="A364" t="s">
        <v>2920</v>
      </c>
      <c r="B364" t="s">
        <v>560</v>
      </c>
      <c r="C364" t="s">
        <v>2357</v>
      </c>
      <c r="D364" t="s">
        <v>561</v>
      </c>
    </row>
    <row r="365" spans="1:4" x14ac:dyDescent="0.25">
      <c r="A365" t="s">
        <v>2921</v>
      </c>
      <c r="B365" t="s">
        <v>561</v>
      </c>
      <c r="C365" t="s">
        <v>2359</v>
      </c>
      <c r="D365" t="s">
        <v>2922</v>
      </c>
    </row>
    <row r="366" spans="1:4" x14ac:dyDescent="0.25">
      <c r="A366" t="s">
        <v>2923</v>
      </c>
      <c r="B366" t="s">
        <v>560</v>
      </c>
      <c r="C366" t="s">
        <v>2357</v>
      </c>
      <c r="D366" t="s">
        <v>2922</v>
      </c>
    </row>
    <row r="367" spans="1:4" x14ac:dyDescent="0.25">
      <c r="A367" t="s">
        <v>2924</v>
      </c>
      <c r="B367" t="s">
        <v>160</v>
      </c>
      <c r="C367" t="s">
        <v>2359</v>
      </c>
      <c r="D367" t="s">
        <v>2925</v>
      </c>
    </row>
    <row r="368" spans="1:4" x14ac:dyDescent="0.25">
      <c r="A368" t="s">
        <v>2926</v>
      </c>
      <c r="B368" t="s">
        <v>564</v>
      </c>
      <c r="C368" t="s">
        <v>2357</v>
      </c>
      <c r="D368" t="s">
        <v>2925</v>
      </c>
    </row>
    <row r="369" spans="1:4" x14ac:dyDescent="0.25">
      <c r="A369" t="s">
        <v>2927</v>
      </c>
      <c r="B369" t="s">
        <v>565</v>
      </c>
      <c r="C369" t="s">
        <v>2359</v>
      </c>
      <c r="D369" t="s">
        <v>2928</v>
      </c>
    </row>
    <row r="370" spans="1:4" x14ac:dyDescent="0.25">
      <c r="A370" t="s">
        <v>2929</v>
      </c>
      <c r="B370" t="s">
        <v>564</v>
      </c>
      <c r="C370" t="s">
        <v>2357</v>
      </c>
      <c r="D370" t="s">
        <v>2928</v>
      </c>
    </row>
    <row r="371" spans="1:4" x14ac:dyDescent="0.25">
      <c r="A371" t="s">
        <v>2930</v>
      </c>
      <c r="B371" t="s">
        <v>568</v>
      </c>
      <c r="C371" t="s">
        <v>2359</v>
      </c>
      <c r="D371" t="s">
        <v>570</v>
      </c>
    </row>
    <row r="372" spans="1:4" x14ac:dyDescent="0.25">
      <c r="A372" t="s">
        <v>2931</v>
      </c>
      <c r="B372" t="s">
        <v>569</v>
      </c>
      <c r="C372" t="s">
        <v>2357</v>
      </c>
      <c r="D372" t="s">
        <v>570</v>
      </c>
    </row>
    <row r="373" spans="1:4" x14ac:dyDescent="0.25">
      <c r="A373" t="s">
        <v>2932</v>
      </c>
      <c r="B373" t="s">
        <v>570</v>
      </c>
      <c r="C373" t="s">
        <v>2359</v>
      </c>
      <c r="D373" t="s">
        <v>2933</v>
      </c>
    </row>
    <row r="374" spans="1:4" x14ac:dyDescent="0.25">
      <c r="A374" t="s">
        <v>2934</v>
      </c>
      <c r="B374" t="s">
        <v>569</v>
      </c>
      <c r="C374" t="s">
        <v>2357</v>
      </c>
      <c r="D374" t="s">
        <v>2933</v>
      </c>
    </row>
    <row r="375" spans="1:4" x14ac:dyDescent="0.25">
      <c r="A375" t="s">
        <v>2935</v>
      </c>
      <c r="B375" t="s">
        <v>573</v>
      </c>
      <c r="C375" t="s">
        <v>2359</v>
      </c>
      <c r="D375" t="s">
        <v>576</v>
      </c>
    </row>
    <row r="376" spans="1:4" x14ac:dyDescent="0.25">
      <c r="A376" t="s">
        <v>2936</v>
      </c>
      <c r="B376" t="s">
        <v>574</v>
      </c>
      <c r="C376" t="s">
        <v>2357</v>
      </c>
      <c r="D376" t="s">
        <v>576</v>
      </c>
    </row>
    <row r="377" spans="1:4" x14ac:dyDescent="0.25">
      <c r="A377" t="s">
        <v>2937</v>
      </c>
      <c r="B377" t="s">
        <v>576</v>
      </c>
      <c r="C377" t="s">
        <v>2359</v>
      </c>
      <c r="D377" t="s">
        <v>577</v>
      </c>
    </row>
    <row r="378" spans="1:4" x14ac:dyDescent="0.25">
      <c r="A378" t="s">
        <v>2938</v>
      </c>
      <c r="B378" t="s">
        <v>574</v>
      </c>
      <c r="C378" t="s">
        <v>2357</v>
      </c>
      <c r="D378" t="s">
        <v>577</v>
      </c>
    </row>
    <row r="379" spans="1:4" x14ac:dyDescent="0.25">
      <c r="A379" t="s">
        <v>2939</v>
      </c>
      <c r="B379" t="s">
        <v>577</v>
      </c>
      <c r="C379" t="s">
        <v>2359</v>
      </c>
      <c r="D379" t="s">
        <v>568</v>
      </c>
    </row>
    <row r="380" spans="1:4" x14ac:dyDescent="0.25">
      <c r="A380" t="s">
        <v>2940</v>
      </c>
      <c r="B380" t="s">
        <v>127</v>
      </c>
      <c r="C380" t="s">
        <v>2359</v>
      </c>
      <c r="D380" t="s">
        <v>581</v>
      </c>
    </row>
    <row r="381" spans="1:4" x14ac:dyDescent="0.25">
      <c r="A381" t="s">
        <v>2941</v>
      </c>
      <c r="B381" t="s">
        <v>580</v>
      </c>
      <c r="C381" t="s">
        <v>2357</v>
      </c>
      <c r="D381" t="s">
        <v>581</v>
      </c>
    </row>
    <row r="382" spans="1:4" x14ac:dyDescent="0.25">
      <c r="A382" t="s">
        <v>2942</v>
      </c>
      <c r="B382" t="s">
        <v>581</v>
      </c>
      <c r="C382" t="s">
        <v>2359</v>
      </c>
      <c r="D382" t="s">
        <v>2943</v>
      </c>
    </row>
    <row r="383" spans="1:4" x14ac:dyDescent="0.25">
      <c r="A383" t="s">
        <v>2944</v>
      </c>
      <c r="B383" t="s">
        <v>580</v>
      </c>
      <c r="C383" t="s">
        <v>2357</v>
      </c>
      <c r="D383" t="s">
        <v>2943</v>
      </c>
    </row>
    <row r="384" spans="1:4" x14ac:dyDescent="0.25">
      <c r="A384" t="s">
        <v>2945</v>
      </c>
      <c r="B384" t="s">
        <v>127</v>
      </c>
      <c r="C384" t="s">
        <v>2359</v>
      </c>
      <c r="D384" t="s">
        <v>586</v>
      </c>
    </row>
    <row r="385" spans="1:4" x14ac:dyDescent="0.25">
      <c r="A385" t="s">
        <v>2946</v>
      </c>
      <c r="B385" t="s">
        <v>584</v>
      </c>
      <c r="C385" t="s">
        <v>2357</v>
      </c>
      <c r="D385" t="s">
        <v>586</v>
      </c>
    </row>
    <row r="386" spans="1:4" x14ac:dyDescent="0.25">
      <c r="A386" t="s">
        <v>2947</v>
      </c>
      <c r="B386" t="s">
        <v>586</v>
      </c>
      <c r="C386" t="s">
        <v>2359</v>
      </c>
      <c r="D386" t="s">
        <v>2948</v>
      </c>
    </row>
    <row r="387" spans="1:4" x14ac:dyDescent="0.25">
      <c r="A387" t="s">
        <v>2949</v>
      </c>
      <c r="B387" t="s">
        <v>584</v>
      </c>
      <c r="C387" t="s">
        <v>2357</v>
      </c>
      <c r="D387" t="s">
        <v>2948</v>
      </c>
    </row>
    <row r="388" spans="1:4" x14ac:dyDescent="0.25">
      <c r="A388" t="s">
        <v>2950</v>
      </c>
      <c r="B388" t="s">
        <v>586</v>
      </c>
      <c r="C388" t="s">
        <v>2359</v>
      </c>
      <c r="D388" t="s">
        <v>2951</v>
      </c>
    </row>
    <row r="389" spans="1:4" x14ac:dyDescent="0.25">
      <c r="A389" t="s">
        <v>2952</v>
      </c>
      <c r="B389" t="s">
        <v>584</v>
      </c>
      <c r="C389" t="s">
        <v>2357</v>
      </c>
      <c r="D389" t="s">
        <v>2951</v>
      </c>
    </row>
    <row r="390" spans="1:4" x14ac:dyDescent="0.25">
      <c r="A390" t="s">
        <v>2953</v>
      </c>
      <c r="B390" t="s">
        <v>160</v>
      </c>
      <c r="C390" t="s">
        <v>2359</v>
      </c>
      <c r="D390" t="s">
        <v>593</v>
      </c>
    </row>
    <row r="391" spans="1:4" x14ac:dyDescent="0.25">
      <c r="A391" t="s">
        <v>2954</v>
      </c>
      <c r="B391" t="s">
        <v>592</v>
      </c>
      <c r="C391" t="s">
        <v>2357</v>
      </c>
      <c r="D391" t="s">
        <v>593</v>
      </c>
    </row>
    <row r="392" spans="1:4" x14ac:dyDescent="0.25">
      <c r="A392" t="s">
        <v>2955</v>
      </c>
      <c r="B392" t="s">
        <v>593</v>
      </c>
      <c r="C392" t="s">
        <v>2359</v>
      </c>
      <c r="D392" t="s">
        <v>2956</v>
      </c>
    </row>
    <row r="393" spans="1:4" x14ac:dyDescent="0.25">
      <c r="A393" t="s">
        <v>2957</v>
      </c>
      <c r="B393" t="s">
        <v>592</v>
      </c>
      <c r="C393" t="s">
        <v>2357</v>
      </c>
      <c r="D393" t="s">
        <v>2956</v>
      </c>
    </row>
    <row r="394" spans="1:4" x14ac:dyDescent="0.25">
      <c r="A394" t="s">
        <v>2958</v>
      </c>
      <c r="B394" t="s">
        <v>593</v>
      </c>
      <c r="C394" t="s">
        <v>2359</v>
      </c>
      <c r="D394" t="s">
        <v>2959</v>
      </c>
    </row>
    <row r="395" spans="1:4" x14ac:dyDescent="0.25">
      <c r="A395" t="s">
        <v>2960</v>
      </c>
      <c r="B395" t="s">
        <v>592</v>
      </c>
      <c r="C395" t="s">
        <v>2357</v>
      </c>
      <c r="D395" t="s">
        <v>2959</v>
      </c>
    </row>
    <row r="396" spans="1:4" x14ac:dyDescent="0.25">
      <c r="A396" t="s">
        <v>2961</v>
      </c>
      <c r="B396" t="s">
        <v>127</v>
      </c>
      <c r="C396" t="s">
        <v>2359</v>
      </c>
      <c r="D396" t="s">
        <v>599</v>
      </c>
    </row>
    <row r="397" spans="1:4" x14ac:dyDescent="0.25">
      <c r="A397" t="s">
        <v>2962</v>
      </c>
      <c r="B397" t="s">
        <v>598</v>
      </c>
      <c r="C397" t="s">
        <v>2357</v>
      </c>
      <c r="D397" t="s">
        <v>599</v>
      </c>
    </row>
    <row r="398" spans="1:4" x14ac:dyDescent="0.25">
      <c r="A398" t="s">
        <v>2963</v>
      </c>
      <c r="B398" t="s">
        <v>599</v>
      </c>
      <c r="C398" t="s">
        <v>2359</v>
      </c>
      <c r="D398" t="s">
        <v>2964</v>
      </c>
    </row>
    <row r="399" spans="1:4" x14ac:dyDescent="0.25">
      <c r="A399" t="s">
        <v>2965</v>
      </c>
      <c r="B399" t="s">
        <v>598</v>
      </c>
      <c r="C399" t="s">
        <v>2357</v>
      </c>
      <c r="D399" t="s">
        <v>2964</v>
      </c>
    </row>
    <row r="400" spans="1:4" x14ac:dyDescent="0.25">
      <c r="A400" t="s">
        <v>2966</v>
      </c>
      <c r="B400" t="s">
        <v>127</v>
      </c>
      <c r="C400" t="s">
        <v>2359</v>
      </c>
      <c r="D400" t="s">
        <v>603</v>
      </c>
    </row>
    <row r="401" spans="1:4" x14ac:dyDescent="0.25">
      <c r="A401" t="s">
        <v>2967</v>
      </c>
      <c r="B401" t="s">
        <v>602</v>
      </c>
      <c r="C401" t="s">
        <v>2357</v>
      </c>
      <c r="D401" t="s">
        <v>603</v>
      </c>
    </row>
    <row r="402" spans="1:4" x14ac:dyDescent="0.25">
      <c r="A402" t="s">
        <v>2968</v>
      </c>
      <c r="B402" t="s">
        <v>603</v>
      </c>
      <c r="C402" t="s">
        <v>2359</v>
      </c>
      <c r="D402" t="s">
        <v>536</v>
      </c>
    </row>
    <row r="403" spans="1:4" x14ac:dyDescent="0.25">
      <c r="A403" t="s">
        <v>2969</v>
      </c>
      <c r="B403" t="s">
        <v>602</v>
      </c>
      <c r="C403" t="s">
        <v>2357</v>
      </c>
      <c r="D403" t="s">
        <v>536</v>
      </c>
    </row>
    <row r="404" spans="1:4" x14ac:dyDescent="0.25">
      <c r="A404" t="s">
        <v>2970</v>
      </c>
      <c r="B404" t="s">
        <v>127</v>
      </c>
      <c r="C404" t="s">
        <v>2359</v>
      </c>
      <c r="D404" t="s">
        <v>607</v>
      </c>
    </row>
    <row r="405" spans="1:4" x14ac:dyDescent="0.25">
      <c r="A405" t="s">
        <v>2971</v>
      </c>
      <c r="B405" t="s">
        <v>606</v>
      </c>
      <c r="C405" t="s">
        <v>2357</v>
      </c>
      <c r="D405" t="s">
        <v>607</v>
      </c>
    </row>
    <row r="406" spans="1:4" x14ac:dyDescent="0.25">
      <c r="A406" t="s">
        <v>2972</v>
      </c>
      <c r="B406" t="s">
        <v>607</v>
      </c>
      <c r="C406" t="s">
        <v>2359</v>
      </c>
      <c r="D406" t="s">
        <v>2973</v>
      </c>
    </row>
    <row r="407" spans="1:4" x14ac:dyDescent="0.25">
      <c r="A407" t="s">
        <v>2974</v>
      </c>
      <c r="B407" t="s">
        <v>606</v>
      </c>
      <c r="C407" t="s">
        <v>2357</v>
      </c>
      <c r="D407" t="s">
        <v>2973</v>
      </c>
    </row>
    <row r="408" spans="1:4" x14ac:dyDescent="0.25">
      <c r="A408" t="s">
        <v>2975</v>
      </c>
      <c r="B408" t="s">
        <v>127</v>
      </c>
      <c r="C408" t="s">
        <v>2359</v>
      </c>
      <c r="D408" t="s">
        <v>611</v>
      </c>
    </row>
    <row r="409" spans="1:4" x14ac:dyDescent="0.25">
      <c r="A409" t="s">
        <v>2976</v>
      </c>
      <c r="B409" t="s">
        <v>610</v>
      </c>
      <c r="C409" t="s">
        <v>2357</v>
      </c>
      <c r="D409" t="s">
        <v>611</v>
      </c>
    </row>
    <row r="410" spans="1:4" x14ac:dyDescent="0.25">
      <c r="A410" t="s">
        <v>2977</v>
      </c>
      <c r="B410" t="s">
        <v>611</v>
      </c>
      <c r="C410" t="s">
        <v>2359</v>
      </c>
      <c r="D410" t="s">
        <v>2978</v>
      </c>
    </row>
    <row r="411" spans="1:4" x14ac:dyDescent="0.25">
      <c r="A411" t="s">
        <v>2979</v>
      </c>
      <c r="B411" t="s">
        <v>610</v>
      </c>
      <c r="C411" t="s">
        <v>2357</v>
      </c>
      <c r="D411" t="s">
        <v>2978</v>
      </c>
    </row>
    <row r="412" spans="1:4" x14ac:dyDescent="0.25">
      <c r="A412" t="s">
        <v>2980</v>
      </c>
      <c r="B412" t="s">
        <v>127</v>
      </c>
      <c r="C412" t="s">
        <v>2359</v>
      </c>
      <c r="D412" t="s">
        <v>615</v>
      </c>
    </row>
    <row r="413" spans="1:4" x14ac:dyDescent="0.25">
      <c r="A413" t="s">
        <v>2981</v>
      </c>
      <c r="B413" t="s">
        <v>614</v>
      </c>
      <c r="C413" t="s">
        <v>2357</v>
      </c>
      <c r="D413" t="s">
        <v>615</v>
      </c>
    </row>
    <row r="414" spans="1:4" x14ac:dyDescent="0.25">
      <c r="A414" t="s">
        <v>2982</v>
      </c>
      <c r="B414" t="s">
        <v>615</v>
      </c>
      <c r="C414" t="s">
        <v>2359</v>
      </c>
      <c r="D414" t="s">
        <v>2983</v>
      </c>
    </row>
    <row r="415" spans="1:4" x14ac:dyDescent="0.25">
      <c r="A415" t="s">
        <v>2984</v>
      </c>
      <c r="B415" t="s">
        <v>614</v>
      </c>
      <c r="C415" t="s">
        <v>2357</v>
      </c>
      <c r="D415" t="s">
        <v>2983</v>
      </c>
    </row>
    <row r="416" spans="1:4" x14ac:dyDescent="0.25">
      <c r="A416" t="s">
        <v>2985</v>
      </c>
      <c r="B416" t="s">
        <v>127</v>
      </c>
      <c r="C416" t="s">
        <v>2359</v>
      </c>
      <c r="D416" t="s">
        <v>619</v>
      </c>
    </row>
    <row r="417" spans="1:4" x14ac:dyDescent="0.25">
      <c r="A417" t="s">
        <v>2986</v>
      </c>
      <c r="B417" t="s">
        <v>618</v>
      </c>
      <c r="C417" t="s">
        <v>2357</v>
      </c>
      <c r="D417" t="s">
        <v>619</v>
      </c>
    </row>
    <row r="418" spans="1:4" x14ac:dyDescent="0.25">
      <c r="A418" t="s">
        <v>2987</v>
      </c>
      <c r="B418" t="s">
        <v>619</v>
      </c>
      <c r="C418" t="s">
        <v>2359</v>
      </c>
      <c r="D418" t="s">
        <v>2988</v>
      </c>
    </row>
    <row r="419" spans="1:4" x14ac:dyDescent="0.25">
      <c r="A419" t="s">
        <v>2989</v>
      </c>
      <c r="B419" t="s">
        <v>618</v>
      </c>
      <c r="C419" t="s">
        <v>2357</v>
      </c>
      <c r="D419" t="s">
        <v>2988</v>
      </c>
    </row>
    <row r="420" spans="1:4" x14ac:dyDescent="0.25">
      <c r="A420" t="s">
        <v>2990</v>
      </c>
      <c r="B420" t="s">
        <v>1409</v>
      </c>
      <c r="C420" t="s">
        <v>2366</v>
      </c>
      <c r="D420" t="s">
        <v>624</v>
      </c>
    </row>
    <row r="421" spans="1:4" x14ac:dyDescent="0.25">
      <c r="A421" t="s">
        <v>2991</v>
      </c>
      <c r="B421" t="s">
        <v>160</v>
      </c>
      <c r="C421" t="s">
        <v>2366</v>
      </c>
      <c r="D421" t="s">
        <v>624</v>
      </c>
    </row>
    <row r="422" spans="1:4" x14ac:dyDescent="0.25">
      <c r="A422" t="s">
        <v>2992</v>
      </c>
      <c r="B422" t="s">
        <v>623</v>
      </c>
      <c r="C422" t="s">
        <v>2357</v>
      </c>
      <c r="D422" t="s">
        <v>624</v>
      </c>
    </row>
    <row r="423" spans="1:4" x14ac:dyDescent="0.25">
      <c r="A423" t="s">
        <v>2993</v>
      </c>
      <c r="B423" t="s">
        <v>624</v>
      </c>
      <c r="C423" t="s">
        <v>2359</v>
      </c>
      <c r="D423" t="s">
        <v>565</v>
      </c>
    </row>
    <row r="424" spans="1:4" x14ac:dyDescent="0.25">
      <c r="A424" t="s">
        <v>2994</v>
      </c>
      <c r="B424" t="s">
        <v>623</v>
      </c>
      <c r="C424" t="s">
        <v>2357</v>
      </c>
      <c r="D424" t="s">
        <v>565</v>
      </c>
    </row>
    <row r="425" spans="1:4" x14ac:dyDescent="0.25">
      <c r="A425" t="s">
        <v>2995</v>
      </c>
      <c r="B425" t="s">
        <v>127</v>
      </c>
      <c r="C425" t="s">
        <v>2359</v>
      </c>
      <c r="D425" t="s">
        <v>628</v>
      </c>
    </row>
    <row r="426" spans="1:4" x14ac:dyDescent="0.25">
      <c r="A426" t="s">
        <v>2996</v>
      </c>
      <c r="B426" t="s">
        <v>627</v>
      </c>
      <c r="C426" t="s">
        <v>2357</v>
      </c>
      <c r="D426" t="s">
        <v>628</v>
      </c>
    </row>
    <row r="427" spans="1:4" x14ac:dyDescent="0.25">
      <c r="A427" t="s">
        <v>2997</v>
      </c>
      <c r="B427" t="s">
        <v>628</v>
      </c>
      <c r="C427" t="s">
        <v>2359</v>
      </c>
      <c r="D427" t="s">
        <v>573</v>
      </c>
    </row>
    <row r="428" spans="1:4" x14ac:dyDescent="0.25">
      <c r="A428" t="s">
        <v>2998</v>
      </c>
      <c r="B428" t="s">
        <v>627</v>
      </c>
      <c r="C428" t="s">
        <v>2357</v>
      </c>
      <c r="D428" t="s">
        <v>573</v>
      </c>
    </row>
    <row r="429" spans="1:4" x14ac:dyDescent="0.25">
      <c r="A429" t="s">
        <v>2999</v>
      </c>
      <c r="B429" t="s">
        <v>127</v>
      </c>
      <c r="C429" t="s">
        <v>2359</v>
      </c>
      <c r="D429" t="s">
        <v>633</v>
      </c>
    </row>
    <row r="430" spans="1:4" x14ac:dyDescent="0.25">
      <c r="A430" t="s">
        <v>3000</v>
      </c>
      <c r="B430" t="s">
        <v>631</v>
      </c>
      <c r="C430" t="s">
        <v>2357</v>
      </c>
      <c r="D430" t="s">
        <v>633</v>
      </c>
    </row>
    <row r="431" spans="1:4" x14ac:dyDescent="0.25">
      <c r="A431" t="s">
        <v>3001</v>
      </c>
      <c r="B431" t="s">
        <v>633</v>
      </c>
      <c r="C431" t="s">
        <v>2359</v>
      </c>
      <c r="D431" t="s">
        <v>3002</v>
      </c>
    </row>
    <row r="432" spans="1:4" x14ac:dyDescent="0.25">
      <c r="A432" t="s">
        <v>3003</v>
      </c>
      <c r="B432" t="s">
        <v>631</v>
      </c>
      <c r="C432" t="s">
        <v>2357</v>
      </c>
      <c r="D432" t="s">
        <v>3002</v>
      </c>
    </row>
    <row r="433" spans="1:4" x14ac:dyDescent="0.25">
      <c r="A433" t="s">
        <v>3004</v>
      </c>
      <c r="B433" t="s">
        <v>633</v>
      </c>
      <c r="C433" t="s">
        <v>2359</v>
      </c>
      <c r="D433" t="s">
        <v>3005</v>
      </c>
    </row>
    <row r="434" spans="1:4" x14ac:dyDescent="0.25">
      <c r="A434" t="s">
        <v>3006</v>
      </c>
      <c r="B434" t="s">
        <v>631</v>
      </c>
      <c r="C434" t="s">
        <v>2357</v>
      </c>
      <c r="D434" t="s">
        <v>3005</v>
      </c>
    </row>
    <row r="435" spans="1:4" x14ac:dyDescent="0.25">
      <c r="A435" t="s">
        <v>3007</v>
      </c>
      <c r="B435" t="s">
        <v>633</v>
      </c>
      <c r="C435" t="s">
        <v>2359</v>
      </c>
      <c r="D435" t="s">
        <v>3008</v>
      </c>
    </row>
    <row r="436" spans="1:4" x14ac:dyDescent="0.25">
      <c r="A436" t="s">
        <v>3009</v>
      </c>
      <c r="B436" t="s">
        <v>631</v>
      </c>
      <c r="C436" t="s">
        <v>2357</v>
      </c>
      <c r="D436" t="s">
        <v>3008</v>
      </c>
    </row>
    <row r="437" spans="1:4" x14ac:dyDescent="0.25">
      <c r="A437" t="s">
        <v>3010</v>
      </c>
      <c r="B437" t="s">
        <v>127</v>
      </c>
      <c r="C437" t="s">
        <v>2359</v>
      </c>
      <c r="D437" t="s">
        <v>644</v>
      </c>
    </row>
    <row r="438" spans="1:4" x14ac:dyDescent="0.25">
      <c r="A438" t="s">
        <v>3011</v>
      </c>
      <c r="B438" t="s">
        <v>642</v>
      </c>
      <c r="C438" t="s">
        <v>2357</v>
      </c>
      <c r="D438" t="s">
        <v>644</v>
      </c>
    </row>
    <row r="439" spans="1:4" x14ac:dyDescent="0.25">
      <c r="A439" t="s">
        <v>3012</v>
      </c>
      <c r="B439" t="s">
        <v>644</v>
      </c>
      <c r="C439" t="s">
        <v>2359</v>
      </c>
      <c r="D439" t="s">
        <v>3013</v>
      </c>
    </row>
    <row r="440" spans="1:4" x14ac:dyDescent="0.25">
      <c r="A440" t="s">
        <v>3014</v>
      </c>
      <c r="B440" t="s">
        <v>642</v>
      </c>
      <c r="C440" t="s">
        <v>2357</v>
      </c>
      <c r="D440" t="s">
        <v>3013</v>
      </c>
    </row>
    <row r="441" spans="1:4" x14ac:dyDescent="0.25">
      <c r="A441" t="s">
        <v>3015</v>
      </c>
      <c r="B441" t="s">
        <v>644</v>
      </c>
      <c r="C441" t="s">
        <v>2359</v>
      </c>
      <c r="D441" t="s">
        <v>3016</v>
      </c>
    </row>
    <row r="442" spans="1:4" x14ac:dyDescent="0.25">
      <c r="A442" t="s">
        <v>3017</v>
      </c>
      <c r="B442" t="s">
        <v>642</v>
      </c>
      <c r="C442" t="s">
        <v>2357</v>
      </c>
      <c r="D442" t="s">
        <v>3016</v>
      </c>
    </row>
    <row r="443" spans="1:4" x14ac:dyDescent="0.25">
      <c r="A443" t="s">
        <v>3018</v>
      </c>
      <c r="B443" t="s">
        <v>3013</v>
      </c>
      <c r="C443" t="s">
        <v>2366</v>
      </c>
      <c r="D443" t="s">
        <v>651</v>
      </c>
    </row>
    <row r="444" spans="1:4" x14ac:dyDescent="0.25">
      <c r="A444" t="s">
        <v>3019</v>
      </c>
      <c r="B444" t="s">
        <v>3016</v>
      </c>
      <c r="C444" t="s">
        <v>2366</v>
      </c>
      <c r="D444" t="s">
        <v>651</v>
      </c>
    </row>
    <row r="445" spans="1:4" x14ac:dyDescent="0.25">
      <c r="A445" t="s">
        <v>3020</v>
      </c>
      <c r="B445" t="s">
        <v>642</v>
      </c>
      <c r="C445" t="s">
        <v>2357</v>
      </c>
      <c r="D445" t="s">
        <v>651</v>
      </c>
    </row>
    <row r="446" spans="1:4" x14ac:dyDescent="0.25">
      <c r="A446" t="s">
        <v>3021</v>
      </c>
      <c r="B446" t="s">
        <v>651</v>
      </c>
      <c r="C446" t="s">
        <v>2359</v>
      </c>
      <c r="D446" t="s">
        <v>654</v>
      </c>
    </row>
    <row r="447" spans="1:4" x14ac:dyDescent="0.25">
      <c r="A447" t="s">
        <v>3022</v>
      </c>
      <c r="B447" t="s">
        <v>652</v>
      </c>
      <c r="C447" t="s">
        <v>2357</v>
      </c>
      <c r="D447" t="s">
        <v>654</v>
      </c>
    </row>
    <row r="448" spans="1:4" x14ac:dyDescent="0.25">
      <c r="A448" t="s">
        <v>3023</v>
      </c>
      <c r="B448" t="s">
        <v>654</v>
      </c>
      <c r="C448" t="s">
        <v>2359</v>
      </c>
      <c r="D448" t="s">
        <v>3024</v>
      </c>
    </row>
    <row r="449" spans="1:4" x14ac:dyDescent="0.25">
      <c r="A449" t="s">
        <v>3025</v>
      </c>
      <c r="B449" t="s">
        <v>652</v>
      </c>
      <c r="C449" t="s">
        <v>2357</v>
      </c>
      <c r="D449" t="s">
        <v>3024</v>
      </c>
    </row>
    <row r="450" spans="1:4" x14ac:dyDescent="0.25">
      <c r="A450" t="s">
        <v>3026</v>
      </c>
      <c r="B450" t="s">
        <v>654</v>
      </c>
      <c r="C450" t="s">
        <v>2359</v>
      </c>
      <c r="D450" t="s">
        <v>3027</v>
      </c>
    </row>
    <row r="451" spans="1:4" x14ac:dyDescent="0.25">
      <c r="A451" t="s">
        <v>3028</v>
      </c>
      <c r="B451" t="s">
        <v>652</v>
      </c>
      <c r="C451" t="s">
        <v>2357</v>
      </c>
      <c r="D451" t="s">
        <v>3027</v>
      </c>
    </row>
    <row r="452" spans="1:4" x14ac:dyDescent="0.25">
      <c r="A452" t="s">
        <v>3029</v>
      </c>
      <c r="B452" t="s">
        <v>3024</v>
      </c>
      <c r="C452" t="s">
        <v>2366</v>
      </c>
      <c r="D452" t="s">
        <v>659</v>
      </c>
    </row>
    <row r="453" spans="1:4" x14ac:dyDescent="0.25">
      <c r="A453" t="s">
        <v>3030</v>
      </c>
      <c r="B453" t="s">
        <v>3027</v>
      </c>
      <c r="C453" t="s">
        <v>2366</v>
      </c>
      <c r="D453" t="s">
        <v>659</v>
      </c>
    </row>
    <row r="454" spans="1:4" x14ac:dyDescent="0.25">
      <c r="A454" t="s">
        <v>3031</v>
      </c>
      <c r="B454" t="s">
        <v>652</v>
      </c>
      <c r="C454" t="s">
        <v>2357</v>
      </c>
      <c r="D454" t="s">
        <v>659</v>
      </c>
    </row>
    <row r="455" spans="1:4" x14ac:dyDescent="0.25">
      <c r="A455" t="s">
        <v>3032</v>
      </c>
      <c r="B455" t="s">
        <v>659</v>
      </c>
      <c r="C455" t="s">
        <v>2359</v>
      </c>
      <c r="D455" t="s">
        <v>660</v>
      </c>
    </row>
    <row r="456" spans="1:4" x14ac:dyDescent="0.25">
      <c r="A456" t="s">
        <v>3033</v>
      </c>
      <c r="B456" t="s">
        <v>660</v>
      </c>
      <c r="C456" t="s">
        <v>2359</v>
      </c>
      <c r="D456" t="s">
        <v>663</v>
      </c>
    </row>
    <row r="457" spans="1:4" x14ac:dyDescent="0.25">
      <c r="A457" t="s">
        <v>3034</v>
      </c>
      <c r="B457" t="s">
        <v>663</v>
      </c>
      <c r="C457" t="s">
        <v>2359</v>
      </c>
      <c r="D457" t="s">
        <v>666</v>
      </c>
    </row>
    <row r="458" spans="1:4" x14ac:dyDescent="0.25">
      <c r="A458" t="s">
        <v>3035</v>
      </c>
      <c r="B458" t="s">
        <v>664</v>
      </c>
      <c r="C458" t="s">
        <v>2357</v>
      </c>
      <c r="D458" t="s">
        <v>666</v>
      </c>
    </row>
    <row r="459" spans="1:4" x14ac:dyDescent="0.25">
      <c r="A459" t="s">
        <v>3036</v>
      </c>
      <c r="B459" t="s">
        <v>666</v>
      </c>
      <c r="C459" t="s">
        <v>2359</v>
      </c>
      <c r="D459" t="s">
        <v>668</v>
      </c>
    </row>
    <row r="460" spans="1:4" x14ac:dyDescent="0.25">
      <c r="A460" t="s">
        <v>3037</v>
      </c>
      <c r="B460" t="s">
        <v>664</v>
      </c>
      <c r="C460" t="s">
        <v>2357</v>
      </c>
      <c r="D460" t="s">
        <v>668</v>
      </c>
    </row>
    <row r="461" spans="1:4" x14ac:dyDescent="0.25">
      <c r="A461" t="s">
        <v>3038</v>
      </c>
      <c r="B461" t="s">
        <v>668</v>
      </c>
      <c r="C461" t="s">
        <v>2359</v>
      </c>
      <c r="D461" t="s">
        <v>671</v>
      </c>
    </row>
    <row r="462" spans="1:4" x14ac:dyDescent="0.25">
      <c r="A462" t="s">
        <v>3039</v>
      </c>
      <c r="B462" t="s">
        <v>669</v>
      </c>
      <c r="C462" t="s">
        <v>2357</v>
      </c>
      <c r="D462" t="s">
        <v>671</v>
      </c>
    </row>
    <row r="463" spans="1:4" x14ac:dyDescent="0.25">
      <c r="A463" t="s">
        <v>3040</v>
      </c>
      <c r="B463" t="s">
        <v>671</v>
      </c>
      <c r="C463" t="s">
        <v>2359</v>
      </c>
      <c r="D463" t="s">
        <v>673</v>
      </c>
    </row>
    <row r="464" spans="1:4" x14ac:dyDescent="0.25">
      <c r="A464" t="s">
        <v>3041</v>
      </c>
      <c r="B464" t="s">
        <v>669</v>
      </c>
      <c r="C464" t="s">
        <v>2357</v>
      </c>
      <c r="D464" t="s">
        <v>673</v>
      </c>
    </row>
    <row r="465" spans="1:4" x14ac:dyDescent="0.25">
      <c r="A465" t="s">
        <v>3042</v>
      </c>
      <c r="B465" t="s">
        <v>673</v>
      </c>
      <c r="C465" t="s">
        <v>2359</v>
      </c>
      <c r="D465" t="s">
        <v>675</v>
      </c>
    </row>
    <row r="466" spans="1:4" x14ac:dyDescent="0.25">
      <c r="A466" t="s">
        <v>3043</v>
      </c>
      <c r="B466" t="s">
        <v>669</v>
      </c>
      <c r="C466" t="s">
        <v>2357</v>
      </c>
      <c r="D466" t="s">
        <v>675</v>
      </c>
    </row>
    <row r="467" spans="1:4" x14ac:dyDescent="0.25">
      <c r="A467" t="s">
        <v>3044</v>
      </c>
      <c r="B467" t="s">
        <v>675</v>
      </c>
      <c r="C467" t="s">
        <v>2359</v>
      </c>
      <c r="D467" t="s">
        <v>677</v>
      </c>
    </row>
    <row r="468" spans="1:4" x14ac:dyDescent="0.25">
      <c r="A468" t="s">
        <v>3045</v>
      </c>
      <c r="B468" t="s">
        <v>669</v>
      </c>
      <c r="C468" t="s">
        <v>2357</v>
      </c>
      <c r="D468" t="s">
        <v>677</v>
      </c>
    </row>
    <row r="469" spans="1:4" x14ac:dyDescent="0.25">
      <c r="A469" t="s">
        <v>3046</v>
      </c>
      <c r="B469" t="s">
        <v>677</v>
      </c>
      <c r="C469" t="s">
        <v>2359</v>
      </c>
      <c r="D469" t="s">
        <v>679</v>
      </c>
    </row>
    <row r="470" spans="1:4" x14ac:dyDescent="0.25">
      <c r="A470" t="s">
        <v>3047</v>
      </c>
      <c r="B470" t="s">
        <v>669</v>
      </c>
      <c r="C470" t="s">
        <v>2357</v>
      </c>
      <c r="D470" t="s">
        <v>679</v>
      </c>
    </row>
    <row r="471" spans="1:4" x14ac:dyDescent="0.25">
      <c r="A471" t="s">
        <v>3048</v>
      </c>
      <c r="B471" t="s">
        <v>679</v>
      </c>
      <c r="C471" t="s">
        <v>2359</v>
      </c>
      <c r="D471" t="s">
        <v>681</v>
      </c>
    </row>
    <row r="472" spans="1:4" x14ac:dyDescent="0.25">
      <c r="A472" t="s">
        <v>3049</v>
      </c>
      <c r="B472" t="s">
        <v>669</v>
      </c>
      <c r="C472" t="s">
        <v>2357</v>
      </c>
      <c r="D472" t="s">
        <v>681</v>
      </c>
    </row>
    <row r="473" spans="1:4" x14ac:dyDescent="0.25">
      <c r="A473" t="s">
        <v>3050</v>
      </c>
      <c r="B473" t="s">
        <v>681</v>
      </c>
      <c r="C473" t="s">
        <v>2359</v>
      </c>
      <c r="D473" t="s">
        <v>683</v>
      </c>
    </row>
    <row r="474" spans="1:4" x14ac:dyDescent="0.25">
      <c r="A474" t="s">
        <v>3051</v>
      </c>
      <c r="B474" t="s">
        <v>669</v>
      </c>
      <c r="C474" t="s">
        <v>2357</v>
      </c>
      <c r="D474" t="s">
        <v>683</v>
      </c>
    </row>
    <row r="475" spans="1:4" x14ac:dyDescent="0.25">
      <c r="A475" t="s">
        <v>3052</v>
      </c>
      <c r="B475" t="s">
        <v>683</v>
      </c>
      <c r="C475" t="s">
        <v>2359</v>
      </c>
      <c r="D475" t="s">
        <v>685</v>
      </c>
    </row>
    <row r="476" spans="1:4" x14ac:dyDescent="0.25">
      <c r="A476" t="s">
        <v>3053</v>
      </c>
      <c r="B476" t="s">
        <v>669</v>
      </c>
      <c r="C476" t="s">
        <v>2357</v>
      </c>
      <c r="D476" t="s">
        <v>685</v>
      </c>
    </row>
    <row r="477" spans="1:4" x14ac:dyDescent="0.25">
      <c r="A477" t="s">
        <v>3054</v>
      </c>
      <c r="B477" t="s">
        <v>685</v>
      </c>
      <c r="C477" t="s">
        <v>2359</v>
      </c>
      <c r="D477" t="s">
        <v>810</v>
      </c>
    </row>
    <row r="478" spans="1:4" x14ac:dyDescent="0.25">
      <c r="A478" t="s">
        <v>3055</v>
      </c>
      <c r="B478" t="s">
        <v>669</v>
      </c>
      <c r="C478" t="s">
        <v>2357</v>
      </c>
      <c r="D478" t="s">
        <v>810</v>
      </c>
    </row>
    <row r="479" spans="1:4" x14ac:dyDescent="0.25">
      <c r="A479" t="s">
        <v>3056</v>
      </c>
      <c r="B479" t="s">
        <v>687</v>
      </c>
      <c r="C479" t="s">
        <v>2359</v>
      </c>
      <c r="D479" t="s">
        <v>3057</v>
      </c>
    </row>
    <row r="480" spans="1:4" x14ac:dyDescent="0.25">
      <c r="A480" t="s">
        <v>3058</v>
      </c>
      <c r="B480" t="s">
        <v>669</v>
      </c>
      <c r="C480" t="s">
        <v>2357</v>
      </c>
      <c r="D480" t="s">
        <v>3057</v>
      </c>
    </row>
    <row r="481" spans="1:4" x14ac:dyDescent="0.25">
      <c r="A481" t="s">
        <v>3059</v>
      </c>
      <c r="B481" t="s">
        <v>663</v>
      </c>
      <c r="C481" t="s">
        <v>2359</v>
      </c>
      <c r="D481" t="s">
        <v>692</v>
      </c>
    </row>
    <row r="482" spans="1:4" x14ac:dyDescent="0.25">
      <c r="A482" t="s">
        <v>3060</v>
      </c>
      <c r="B482" t="s">
        <v>690</v>
      </c>
      <c r="C482" t="s">
        <v>2357</v>
      </c>
      <c r="D482" t="s">
        <v>692</v>
      </c>
    </row>
    <row r="483" spans="1:4" x14ac:dyDescent="0.25">
      <c r="A483" t="s">
        <v>3061</v>
      </c>
      <c r="B483" t="s">
        <v>692</v>
      </c>
      <c r="C483" t="s">
        <v>2359</v>
      </c>
      <c r="D483" t="s">
        <v>694</v>
      </c>
    </row>
    <row r="484" spans="1:4" x14ac:dyDescent="0.25">
      <c r="A484" t="s">
        <v>3062</v>
      </c>
      <c r="B484" t="s">
        <v>690</v>
      </c>
      <c r="C484" t="s">
        <v>2357</v>
      </c>
      <c r="D484" t="s">
        <v>694</v>
      </c>
    </row>
    <row r="485" spans="1:4" x14ac:dyDescent="0.25">
      <c r="A485" t="s">
        <v>3063</v>
      </c>
      <c r="B485" t="s">
        <v>694</v>
      </c>
      <c r="C485" t="s">
        <v>2359</v>
      </c>
      <c r="D485" t="s">
        <v>696</v>
      </c>
    </row>
    <row r="486" spans="1:4" x14ac:dyDescent="0.25">
      <c r="A486" t="s">
        <v>3064</v>
      </c>
      <c r="B486" t="s">
        <v>690</v>
      </c>
      <c r="C486" t="s">
        <v>2357</v>
      </c>
      <c r="D486" t="s">
        <v>696</v>
      </c>
    </row>
    <row r="487" spans="1:4" x14ac:dyDescent="0.25">
      <c r="A487" t="s">
        <v>3065</v>
      </c>
      <c r="B487" t="s">
        <v>696</v>
      </c>
      <c r="C487" t="s">
        <v>2359</v>
      </c>
      <c r="D487" t="s">
        <v>698</v>
      </c>
    </row>
    <row r="488" spans="1:4" x14ac:dyDescent="0.25">
      <c r="A488" t="s">
        <v>3066</v>
      </c>
      <c r="B488" t="s">
        <v>690</v>
      </c>
      <c r="C488" t="s">
        <v>2357</v>
      </c>
      <c r="D488" t="s">
        <v>698</v>
      </c>
    </row>
    <row r="489" spans="1:4" x14ac:dyDescent="0.25">
      <c r="A489" t="s">
        <v>3067</v>
      </c>
      <c r="B489" t="s">
        <v>698</v>
      </c>
      <c r="C489" t="s">
        <v>2359</v>
      </c>
      <c r="D489" t="s">
        <v>700</v>
      </c>
    </row>
    <row r="490" spans="1:4" x14ac:dyDescent="0.25">
      <c r="A490" t="s">
        <v>3068</v>
      </c>
      <c r="B490" t="s">
        <v>690</v>
      </c>
      <c r="C490" t="s">
        <v>2357</v>
      </c>
      <c r="D490" t="s">
        <v>700</v>
      </c>
    </row>
    <row r="491" spans="1:4" x14ac:dyDescent="0.25">
      <c r="A491" t="s">
        <v>3069</v>
      </c>
      <c r="B491" t="s">
        <v>700</v>
      </c>
      <c r="C491" t="s">
        <v>2359</v>
      </c>
      <c r="D491" t="s">
        <v>702</v>
      </c>
    </row>
    <row r="492" spans="1:4" x14ac:dyDescent="0.25">
      <c r="A492" t="s">
        <v>3070</v>
      </c>
      <c r="B492" t="s">
        <v>690</v>
      </c>
      <c r="C492" t="s">
        <v>2357</v>
      </c>
      <c r="D492" t="s">
        <v>702</v>
      </c>
    </row>
    <row r="493" spans="1:4" x14ac:dyDescent="0.25">
      <c r="A493" t="s">
        <v>3071</v>
      </c>
      <c r="B493" t="s">
        <v>702</v>
      </c>
      <c r="C493" t="s">
        <v>2359</v>
      </c>
      <c r="D493" t="s">
        <v>715</v>
      </c>
    </row>
    <row r="494" spans="1:4" x14ac:dyDescent="0.25">
      <c r="A494" t="s">
        <v>3072</v>
      </c>
      <c r="B494" t="s">
        <v>3073</v>
      </c>
      <c r="C494" t="s">
        <v>2366</v>
      </c>
      <c r="D494" t="s">
        <v>707</v>
      </c>
    </row>
    <row r="495" spans="1:4" x14ac:dyDescent="0.25">
      <c r="A495" t="s">
        <v>3074</v>
      </c>
      <c r="B495" t="s">
        <v>3075</v>
      </c>
      <c r="C495" t="s">
        <v>2366</v>
      </c>
      <c r="D495" t="s">
        <v>707</v>
      </c>
    </row>
    <row r="496" spans="1:4" x14ac:dyDescent="0.25">
      <c r="A496" t="s">
        <v>3076</v>
      </c>
      <c r="B496" t="s">
        <v>3077</v>
      </c>
      <c r="C496" t="s">
        <v>2366</v>
      </c>
      <c r="D496" t="s">
        <v>707</v>
      </c>
    </row>
    <row r="497" spans="1:4" x14ac:dyDescent="0.25">
      <c r="A497" t="s">
        <v>3078</v>
      </c>
      <c r="B497" t="s">
        <v>705</v>
      </c>
      <c r="C497" t="s">
        <v>2357</v>
      </c>
      <c r="D497" t="s">
        <v>707</v>
      </c>
    </row>
    <row r="498" spans="1:4" x14ac:dyDescent="0.25">
      <c r="A498" t="s">
        <v>3079</v>
      </c>
      <c r="B498" t="s">
        <v>707</v>
      </c>
      <c r="C498" t="s">
        <v>2359</v>
      </c>
      <c r="D498" t="s">
        <v>709</v>
      </c>
    </row>
    <row r="499" spans="1:4" x14ac:dyDescent="0.25">
      <c r="A499" t="s">
        <v>3080</v>
      </c>
      <c r="B499" t="s">
        <v>705</v>
      </c>
      <c r="C499" t="s">
        <v>2357</v>
      </c>
      <c r="D499" t="s">
        <v>709</v>
      </c>
    </row>
    <row r="500" spans="1:4" x14ac:dyDescent="0.25">
      <c r="A500" t="s">
        <v>3081</v>
      </c>
      <c r="B500" t="s">
        <v>709</v>
      </c>
      <c r="C500" t="s">
        <v>2359</v>
      </c>
      <c r="D500" t="s">
        <v>711</v>
      </c>
    </row>
    <row r="501" spans="1:4" x14ac:dyDescent="0.25">
      <c r="A501" t="s">
        <v>3082</v>
      </c>
      <c r="B501" t="s">
        <v>705</v>
      </c>
      <c r="C501" t="s">
        <v>2357</v>
      </c>
      <c r="D501" t="s">
        <v>711</v>
      </c>
    </row>
    <row r="502" spans="1:4" x14ac:dyDescent="0.25">
      <c r="A502" t="s">
        <v>3083</v>
      </c>
      <c r="B502" t="s">
        <v>711</v>
      </c>
      <c r="C502" t="s">
        <v>2359</v>
      </c>
      <c r="D502" t="s">
        <v>712</v>
      </c>
    </row>
    <row r="503" spans="1:4" x14ac:dyDescent="0.25">
      <c r="A503" t="s">
        <v>3084</v>
      </c>
      <c r="B503" t="s">
        <v>705</v>
      </c>
      <c r="C503" t="s">
        <v>2357</v>
      </c>
      <c r="D503" t="s">
        <v>712</v>
      </c>
    </row>
    <row r="504" spans="1:4" x14ac:dyDescent="0.25">
      <c r="A504" t="s">
        <v>3085</v>
      </c>
      <c r="B504" t="s">
        <v>712</v>
      </c>
      <c r="C504" t="s">
        <v>2359</v>
      </c>
      <c r="D504" t="s">
        <v>3086</v>
      </c>
    </row>
    <row r="505" spans="1:4" x14ac:dyDescent="0.25">
      <c r="A505" t="s">
        <v>3087</v>
      </c>
      <c r="B505" t="s">
        <v>705</v>
      </c>
      <c r="C505" t="s">
        <v>2357</v>
      </c>
      <c r="D505" t="s">
        <v>3086</v>
      </c>
    </row>
    <row r="506" spans="1:4" x14ac:dyDescent="0.25">
      <c r="A506" t="s">
        <v>3088</v>
      </c>
      <c r="B506" t="s">
        <v>715</v>
      </c>
      <c r="C506" t="s">
        <v>2359</v>
      </c>
      <c r="D506" t="s">
        <v>718</v>
      </c>
    </row>
    <row r="507" spans="1:4" x14ac:dyDescent="0.25">
      <c r="A507" t="s">
        <v>3089</v>
      </c>
      <c r="B507" t="s">
        <v>716</v>
      </c>
      <c r="C507" t="s">
        <v>2357</v>
      </c>
      <c r="D507" t="s">
        <v>718</v>
      </c>
    </row>
    <row r="508" spans="1:4" x14ac:dyDescent="0.25">
      <c r="A508" t="s">
        <v>3090</v>
      </c>
      <c r="B508" t="s">
        <v>718</v>
      </c>
      <c r="C508" t="s">
        <v>2359</v>
      </c>
      <c r="D508" t="s">
        <v>719</v>
      </c>
    </row>
    <row r="509" spans="1:4" x14ac:dyDescent="0.25">
      <c r="A509" t="s">
        <v>3091</v>
      </c>
      <c r="B509" t="s">
        <v>716</v>
      </c>
      <c r="C509" t="s">
        <v>2357</v>
      </c>
      <c r="D509" t="s">
        <v>719</v>
      </c>
    </row>
    <row r="510" spans="1:4" x14ac:dyDescent="0.25">
      <c r="A510" t="s">
        <v>3092</v>
      </c>
      <c r="B510" t="s">
        <v>719</v>
      </c>
      <c r="C510" t="s">
        <v>2359</v>
      </c>
      <c r="D510" t="s">
        <v>3077</v>
      </c>
    </row>
    <row r="511" spans="1:4" x14ac:dyDescent="0.25">
      <c r="A511" t="s">
        <v>3093</v>
      </c>
      <c r="B511" t="s">
        <v>716</v>
      </c>
      <c r="C511" t="s">
        <v>2357</v>
      </c>
      <c r="D511" t="s">
        <v>3077</v>
      </c>
    </row>
    <row r="512" spans="1:4" x14ac:dyDescent="0.25">
      <c r="A512" t="s">
        <v>3094</v>
      </c>
      <c r="B512" t="s">
        <v>715</v>
      </c>
      <c r="C512" t="s">
        <v>2359</v>
      </c>
      <c r="D512" t="s">
        <v>724</v>
      </c>
    </row>
    <row r="513" spans="1:4" x14ac:dyDescent="0.25">
      <c r="A513" t="s">
        <v>3095</v>
      </c>
      <c r="B513" t="s">
        <v>722</v>
      </c>
      <c r="C513" t="s">
        <v>2357</v>
      </c>
      <c r="D513" t="s">
        <v>724</v>
      </c>
    </row>
    <row r="514" spans="1:4" x14ac:dyDescent="0.25">
      <c r="A514" t="s">
        <v>3096</v>
      </c>
      <c r="B514" t="s">
        <v>724</v>
      </c>
      <c r="C514" t="s">
        <v>2359</v>
      </c>
      <c r="D514" t="s">
        <v>3097</v>
      </c>
    </row>
    <row r="515" spans="1:4" x14ac:dyDescent="0.25">
      <c r="A515" t="s">
        <v>3098</v>
      </c>
      <c r="B515" t="s">
        <v>722</v>
      </c>
      <c r="C515" t="s">
        <v>2357</v>
      </c>
      <c r="D515" t="s">
        <v>3097</v>
      </c>
    </row>
    <row r="516" spans="1:4" x14ac:dyDescent="0.25">
      <c r="A516" t="s">
        <v>3099</v>
      </c>
      <c r="B516" t="s">
        <v>724</v>
      </c>
      <c r="C516" t="s">
        <v>2359</v>
      </c>
      <c r="D516" t="s">
        <v>3100</v>
      </c>
    </row>
    <row r="517" spans="1:4" x14ac:dyDescent="0.25">
      <c r="A517" t="s">
        <v>3101</v>
      </c>
      <c r="B517" t="s">
        <v>722</v>
      </c>
      <c r="C517" t="s">
        <v>2357</v>
      </c>
      <c r="D517" t="s">
        <v>3100</v>
      </c>
    </row>
    <row r="518" spans="1:4" x14ac:dyDescent="0.25">
      <c r="A518" t="s">
        <v>3102</v>
      </c>
      <c r="B518" t="s">
        <v>3097</v>
      </c>
      <c r="C518" t="s">
        <v>2366</v>
      </c>
      <c r="D518" t="s">
        <v>3075</v>
      </c>
    </row>
    <row r="519" spans="1:4" x14ac:dyDescent="0.25">
      <c r="A519" t="s">
        <v>3103</v>
      </c>
      <c r="B519" t="s">
        <v>3100</v>
      </c>
      <c r="C519" t="s">
        <v>2366</v>
      </c>
      <c r="D519" t="s">
        <v>3075</v>
      </c>
    </row>
    <row r="520" spans="1:4" x14ac:dyDescent="0.25">
      <c r="A520" t="s">
        <v>3104</v>
      </c>
      <c r="B520" t="s">
        <v>722</v>
      </c>
      <c r="C520" t="s">
        <v>2357</v>
      </c>
      <c r="D520" t="s">
        <v>3075</v>
      </c>
    </row>
    <row r="521" spans="1:4" x14ac:dyDescent="0.25">
      <c r="A521" t="s">
        <v>3105</v>
      </c>
      <c r="B521" t="s">
        <v>715</v>
      </c>
      <c r="C521" t="s">
        <v>2359</v>
      </c>
      <c r="D521" t="s">
        <v>733</v>
      </c>
    </row>
    <row r="522" spans="1:4" x14ac:dyDescent="0.25">
      <c r="A522" t="s">
        <v>3106</v>
      </c>
      <c r="B522" t="s">
        <v>731</v>
      </c>
      <c r="C522" t="s">
        <v>2357</v>
      </c>
      <c r="D522" t="s">
        <v>733</v>
      </c>
    </row>
    <row r="523" spans="1:4" x14ac:dyDescent="0.25">
      <c r="A523" t="s">
        <v>3107</v>
      </c>
      <c r="B523" t="s">
        <v>733</v>
      </c>
      <c r="C523" t="s">
        <v>2359</v>
      </c>
      <c r="D523" t="s">
        <v>735</v>
      </c>
    </row>
    <row r="524" spans="1:4" x14ac:dyDescent="0.25">
      <c r="A524" t="s">
        <v>3108</v>
      </c>
      <c r="B524" t="s">
        <v>731</v>
      </c>
      <c r="C524" t="s">
        <v>2357</v>
      </c>
      <c r="D524" t="s">
        <v>735</v>
      </c>
    </row>
    <row r="525" spans="1:4" x14ac:dyDescent="0.25">
      <c r="A525" t="s">
        <v>3109</v>
      </c>
      <c r="B525" t="s">
        <v>735</v>
      </c>
      <c r="C525" t="s">
        <v>2359</v>
      </c>
      <c r="D525" t="s">
        <v>3073</v>
      </c>
    </row>
    <row r="526" spans="1:4" x14ac:dyDescent="0.25">
      <c r="A526" t="s">
        <v>3110</v>
      </c>
      <c r="B526" t="s">
        <v>3086</v>
      </c>
      <c r="C526" t="s">
        <v>2366</v>
      </c>
      <c r="D526" t="s">
        <v>741</v>
      </c>
    </row>
    <row r="527" spans="1:4" x14ac:dyDescent="0.25">
      <c r="A527" t="s">
        <v>3111</v>
      </c>
      <c r="B527" t="s">
        <v>3057</v>
      </c>
      <c r="C527" t="s">
        <v>2366</v>
      </c>
      <c r="D527" t="s">
        <v>741</v>
      </c>
    </row>
    <row r="528" spans="1:4" x14ac:dyDescent="0.25">
      <c r="A528" t="s">
        <v>3112</v>
      </c>
      <c r="B528" t="s">
        <v>739</v>
      </c>
      <c r="C528" t="s">
        <v>2357</v>
      </c>
      <c r="D528" t="s">
        <v>741</v>
      </c>
    </row>
    <row r="529" spans="1:4" x14ac:dyDescent="0.25">
      <c r="A529" t="s">
        <v>3113</v>
      </c>
      <c r="B529" t="s">
        <v>741</v>
      </c>
      <c r="C529" t="s">
        <v>2359</v>
      </c>
      <c r="D529" t="s">
        <v>743</v>
      </c>
    </row>
    <row r="530" spans="1:4" x14ac:dyDescent="0.25">
      <c r="A530" t="s">
        <v>3114</v>
      </c>
      <c r="B530" t="s">
        <v>739</v>
      </c>
      <c r="C530" t="s">
        <v>2357</v>
      </c>
      <c r="D530" t="s">
        <v>743</v>
      </c>
    </row>
    <row r="531" spans="1:4" x14ac:dyDescent="0.25">
      <c r="A531" t="s">
        <v>3115</v>
      </c>
      <c r="B531" t="s">
        <v>743</v>
      </c>
      <c r="C531" t="s">
        <v>2359</v>
      </c>
      <c r="D531" t="s">
        <v>745</v>
      </c>
    </row>
    <row r="532" spans="1:4" x14ac:dyDescent="0.25">
      <c r="A532" t="s">
        <v>3116</v>
      </c>
      <c r="B532" t="s">
        <v>739</v>
      </c>
      <c r="C532" t="s">
        <v>2357</v>
      </c>
      <c r="D532" t="s">
        <v>745</v>
      </c>
    </row>
    <row r="533" spans="1:4" x14ac:dyDescent="0.25">
      <c r="A533" t="s">
        <v>3117</v>
      </c>
      <c r="B533" t="s">
        <v>745</v>
      </c>
      <c r="C533" t="s">
        <v>2359</v>
      </c>
      <c r="D533" t="s">
        <v>747</v>
      </c>
    </row>
    <row r="534" spans="1:4" x14ac:dyDescent="0.25">
      <c r="A534" t="s">
        <v>3118</v>
      </c>
      <c r="B534" t="s">
        <v>739</v>
      </c>
      <c r="C534" t="s">
        <v>2357</v>
      </c>
      <c r="D534" t="s">
        <v>747</v>
      </c>
    </row>
    <row r="535" spans="1:4" x14ac:dyDescent="0.25">
      <c r="A535" t="s">
        <v>3119</v>
      </c>
      <c r="B535" t="s">
        <v>747</v>
      </c>
      <c r="C535" t="s">
        <v>2359</v>
      </c>
      <c r="D535" t="s">
        <v>749</v>
      </c>
    </row>
    <row r="536" spans="1:4" x14ac:dyDescent="0.25">
      <c r="A536" t="s">
        <v>3120</v>
      </c>
      <c r="B536" t="s">
        <v>739</v>
      </c>
      <c r="C536" t="s">
        <v>2357</v>
      </c>
      <c r="D536" t="s">
        <v>749</v>
      </c>
    </row>
    <row r="537" spans="1:4" x14ac:dyDescent="0.25">
      <c r="A537" t="s">
        <v>3121</v>
      </c>
      <c r="B537" t="s">
        <v>749</v>
      </c>
      <c r="C537" t="s">
        <v>2359</v>
      </c>
      <c r="D537" t="s">
        <v>751</v>
      </c>
    </row>
    <row r="538" spans="1:4" x14ac:dyDescent="0.25">
      <c r="A538" t="s">
        <v>3122</v>
      </c>
      <c r="B538" t="s">
        <v>739</v>
      </c>
      <c r="C538" t="s">
        <v>2357</v>
      </c>
      <c r="D538" t="s">
        <v>751</v>
      </c>
    </row>
    <row r="539" spans="1:4" x14ac:dyDescent="0.25">
      <c r="A539" t="s">
        <v>3123</v>
      </c>
      <c r="B539" t="s">
        <v>751</v>
      </c>
      <c r="C539" t="s">
        <v>2359</v>
      </c>
      <c r="D539" t="s">
        <v>752</v>
      </c>
    </row>
    <row r="540" spans="1:4" x14ac:dyDescent="0.25">
      <c r="A540" t="s">
        <v>3124</v>
      </c>
      <c r="B540" t="s">
        <v>739</v>
      </c>
      <c r="C540" t="s">
        <v>2357</v>
      </c>
      <c r="D540" t="s">
        <v>752</v>
      </c>
    </row>
    <row r="541" spans="1:4" x14ac:dyDescent="0.25">
      <c r="A541" t="s">
        <v>3125</v>
      </c>
      <c r="B541" t="s">
        <v>752</v>
      </c>
      <c r="C541" t="s">
        <v>2359</v>
      </c>
      <c r="D541" t="s">
        <v>755</v>
      </c>
    </row>
    <row r="542" spans="1:4" x14ac:dyDescent="0.25">
      <c r="A542" t="s">
        <v>3126</v>
      </c>
      <c r="B542" t="s">
        <v>739</v>
      </c>
      <c r="C542" t="s">
        <v>2357</v>
      </c>
      <c r="D542" t="s">
        <v>755</v>
      </c>
    </row>
    <row r="543" spans="1:4" x14ac:dyDescent="0.25">
      <c r="A543" t="s">
        <v>3127</v>
      </c>
      <c r="B543" t="s">
        <v>755</v>
      </c>
      <c r="C543" t="s">
        <v>2359</v>
      </c>
      <c r="D543" t="s">
        <v>758</v>
      </c>
    </row>
    <row r="544" spans="1:4" x14ac:dyDescent="0.25">
      <c r="A544" t="s">
        <v>3128</v>
      </c>
      <c r="B544" t="s">
        <v>756</v>
      </c>
      <c r="C544" t="s">
        <v>2357</v>
      </c>
      <c r="D544" t="s">
        <v>758</v>
      </c>
    </row>
    <row r="545" spans="1:4" x14ac:dyDescent="0.25">
      <c r="A545" t="s">
        <v>3129</v>
      </c>
      <c r="B545" t="s">
        <v>758</v>
      </c>
      <c r="C545" t="s">
        <v>2359</v>
      </c>
      <c r="D545" t="s">
        <v>3130</v>
      </c>
    </row>
    <row r="546" spans="1:4" x14ac:dyDescent="0.25">
      <c r="A546" t="s">
        <v>3131</v>
      </c>
      <c r="B546" t="s">
        <v>756</v>
      </c>
      <c r="C546" t="s">
        <v>2357</v>
      </c>
      <c r="D546" t="s">
        <v>3130</v>
      </c>
    </row>
    <row r="547" spans="1:4" x14ac:dyDescent="0.25">
      <c r="A547" t="s">
        <v>3132</v>
      </c>
      <c r="B547" t="s">
        <v>758</v>
      </c>
      <c r="C547" t="s">
        <v>2359</v>
      </c>
      <c r="D547" t="s">
        <v>3133</v>
      </c>
    </row>
    <row r="548" spans="1:4" x14ac:dyDescent="0.25">
      <c r="A548" t="s">
        <v>3134</v>
      </c>
      <c r="B548" t="s">
        <v>756</v>
      </c>
      <c r="C548" t="s">
        <v>2357</v>
      </c>
      <c r="D548" t="s">
        <v>3133</v>
      </c>
    </row>
    <row r="549" spans="1:4" x14ac:dyDescent="0.25">
      <c r="A549" t="s">
        <v>3135</v>
      </c>
      <c r="B549" t="s">
        <v>758</v>
      </c>
      <c r="C549" t="s">
        <v>2359</v>
      </c>
      <c r="D549" t="s">
        <v>3136</v>
      </c>
    </row>
    <row r="550" spans="1:4" x14ac:dyDescent="0.25">
      <c r="A550" t="s">
        <v>3137</v>
      </c>
      <c r="B550" t="s">
        <v>756</v>
      </c>
      <c r="C550" t="s">
        <v>2357</v>
      </c>
      <c r="D550" t="s">
        <v>3136</v>
      </c>
    </row>
    <row r="551" spans="1:4" x14ac:dyDescent="0.25">
      <c r="A551" t="s">
        <v>3138</v>
      </c>
      <c r="B551" t="s">
        <v>758</v>
      </c>
      <c r="C551" t="s">
        <v>2359</v>
      </c>
      <c r="D551" t="s">
        <v>3139</v>
      </c>
    </row>
    <row r="552" spans="1:4" x14ac:dyDescent="0.25">
      <c r="A552" t="s">
        <v>3140</v>
      </c>
      <c r="B552" t="s">
        <v>756</v>
      </c>
      <c r="C552" t="s">
        <v>2357</v>
      </c>
      <c r="D552" t="s">
        <v>3139</v>
      </c>
    </row>
    <row r="553" spans="1:4" x14ac:dyDescent="0.25">
      <c r="A553" t="s">
        <v>3141</v>
      </c>
      <c r="B553" t="s">
        <v>127</v>
      </c>
      <c r="C553" t="s">
        <v>2359</v>
      </c>
      <c r="D553" t="s">
        <v>769</v>
      </c>
    </row>
    <row r="554" spans="1:4" x14ac:dyDescent="0.25">
      <c r="A554" t="s">
        <v>3142</v>
      </c>
      <c r="B554" t="s">
        <v>767</v>
      </c>
      <c r="C554" t="s">
        <v>2357</v>
      </c>
      <c r="D554" t="s">
        <v>769</v>
      </c>
    </row>
    <row r="555" spans="1:4" x14ac:dyDescent="0.25">
      <c r="A555" t="s">
        <v>3143</v>
      </c>
      <c r="B555" t="s">
        <v>769</v>
      </c>
      <c r="C555" t="s">
        <v>2359</v>
      </c>
      <c r="D555" t="s">
        <v>3144</v>
      </c>
    </row>
    <row r="556" spans="1:4" x14ac:dyDescent="0.25">
      <c r="A556" t="s">
        <v>3145</v>
      </c>
      <c r="B556" t="s">
        <v>767</v>
      </c>
      <c r="C556" t="s">
        <v>2357</v>
      </c>
      <c r="D556" t="s">
        <v>3144</v>
      </c>
    </row>
    <row r="557" spans="1:4" x14ac:dyDescent="0.25">
      <c r="A557" t="s">
        <v>3146</v>
      </c>
      <c r="B557" t="s">
        <v>769</v>
      </c>
      <c r="C557" t="s">
        <v>2359</v>
      </c>
      <c r="D557" t="s">
        <v>3147</v>
      </c>
    </row>
    <row r="558" spans="1:4" x14ac:dyDescent="0.25">
      <c r="A558" t="s">
        <v>3148</v>
      </c>
      <c r="B558" t="s">
        <v>767</v>
      </c>
      <c r="C558" t="s">
        <v>2357</v>
      </c>
      <c r="D558" t="s">
        <v>3147</v>
      </c>
    </row>
    <row r="559" spans="1:4" x14ac:dyDescent="0.25">
      <c r="A559" t="s">
        <v>3149</v>
      </c>
      <c r="B559" t="s">
        <v>127</v>
      </c>
      <c r="C559" t="s">
        <v>2359</v>
      </c>
      <c r="D559" t="s">
        <v>777</v>
      </c>
    </row>
    <row r="560" spans="1:4" x14ac:dyDescent="0.25">
      <c r="A560" t="s">
        <v>3150</v>
      </c>
      <c r="B560" t="s">
        <v>775</v>
      </c>
      <c r="C560" t="s">
        <v>2357</v>
      </c>
      <c r="D560" t="s">
        <v>777</v>
      </c>
    </row>
    <row r="561" spans="1:4" x14ac:dyDescent="0.25">
      <c r="A561" t="s">
        <v>3151</v>
      </c>
      <c r="B561" t="s">
        <v>777</v>
      </c>
      <c r="C561" t="s">
        <v>2359</v>
      </c>
      <c r="D561" t="s">
        <v>3152</v>
      </c>
    </row>
    <row r="562" spans="1:4" x14ac:dyDescent="0.25">
      <c r="A562" t="s">
        <v>3153</v>
      </c>
      <c r="B562" t="s">
        <v>775</v>
      </c>
      <c r="C562" t="s">
        <v>2357</v>
      </c>
      <c r="D562" t="s">
        <v>3152</v>
      </c>
    </row>
    <row r="563" spans="1:4" x14ac:dyDescent="0.25">
      <c r="A563" t="s">
        <v>3154</v>
      </c>
      <c r="B563" t="s">
        <v>777</v>
      </c>
      <c r="C563" t="s">
        <v>2359</v>
      </c>
      <c r="D563" t="s">
        <v>3155</v>
      </c>
    </row>
    <row r="564" spans="1:4" x14ac:dyDescent="0.25">
      <c r="A564" t="s">
        <v>3156</v>
      </c>
      <c r="B564" t="s">
        <v>775</v>
      </c>
      <c r="C564" t="s">
        <v>2357</v>
      </c>
      <c r="D564" t="s">
        <v>3155</v>
      </c>
    </row>
    <row r="565" spans="1:4" x14ac:dyDescent="0.25">
      <c r="A565" t="s">
        <v>3157</v>
      </c>
      <c r="B565" t="s">
        <v>127</v>
      </c>
      <c r="C565" t="s">
        <v>2359</v>
      </c>
      <c r="D565" t="s">
        <v>784</v>
      </c>
    </row>
    <row r="566" spans="1:4" x14ac:dyDescent="0.25">
      <c r="A566" t="s">
        <v>3158</v>
      </c>
      <c r="B566" t="s">
        <v>783</v>
      </c>
      <c r="C566" t="s">
        <v>2357</v>
      </c>
      <c r="D566" t="s">
        <v>784</v>
      </c>
    </row>
    <row r="567" spans="1:4" x14ac:dyDescent="0.25">
      <c r="A567" t="s">
        <v>3159</v>
      </c>
      <c r="B567" t="s">
        <v>784</v>
      </c>
      <c r="C567" t="s">
        <v>2359</v>
      </c>
      <c r="D567" t="s">
        <v>3160</v>
      </c>
    </row>
    <row r="568" spans="1:4" x14ac:dyDescent="0.25">
      <c r="A568" t="s">
        <v>3161</v>
      </c>
      <c r="B568" t="s">
        <v>783</v>
      </c>
      <c r="C568" t="s">
        <v>2357</v>
      </c>
      <c r="D568" t="s">
        <v>3160</v>
      </c>
    </row>
    <row r="569" spans="1:4" x14ac:dyDescent="0.25">
      <c r="A569" t="s">
        <v>3162</v>
      </c>
      <c r="B569" t="s">
        <v>127</v>
      </c>
      <c r="C569" t="s">
        <v>2359</v>
      </c>
      <c r="D569" t="s">
        <v>788</v>
      </c>
    </row>
    <row r="570" spans="1:4" x14ac:dyDescent="0.25">
      <c r="A570" t="s">
        <v>3163</v>
      </c>
      <c r="B570" t="s">
        <v>787</v>
      </c>
      <c r="C570" t="s">
        <v>2357</v>
      </c>
      <c r="D570" t="s">
        <v>788</v>
      </c>
    </row>
    <row r="571" spans="1:4" x14ac:dyDescent="0.25">
      <c r="A571" t="s">
        <v>3164</v>
      </c>
      <c r="B571" t="s">
        <v>788</v>
      </c>
      <c r="C571" t="s">
        <v>2359</v>
      </c>
      <c r="D571" t="s">
        <v>791</v>
      </c>
    </row>
    <row r="572" spans="1:4" x14ac:dyDescent="0.25">
      <c r="A572" t="s">
        <v>3165</v>
      </c>
      <c r="B572" t="s">
        <v>787</v>
      </c>
      <c r="C572" t="s">
        <v>2357</v>
      </c>
      <c r="D572" t="s">
        <v>791</v>
      </c>
    </row>
    <row r="573" spans="1:4" x14ac:dyDescent="0.25">
      <c r="A573" t="s">
        <v>3166</v>
      </c>
      <c r="B573" t="s">
        <v>791</v>
      </c>
      <c r="C573" t="s">
        <v>2359</v>
      </c>
      <c r="D573" t="s">
        <v>794</v>
      </c>
    </row>
    <row r="574" spans="1:4" x14ac:dyDescent="0.25">
      <c r="A574" t="s">
        <v>3167</v>
      </c>
      <c r="B574" t="s">
        <v>792</v>
      </c>
      <c r="C574" t="s">
        <v>2357</v>
      </c>
      <c r="D574" t="s">
        <v>794</v>
      </c>
    </row>
    <row r="575" spans="1:4" x14ac:dyDescent="0.25">
      <c r="A575" t="s">
        <v>3168</v>
      </c>
      <c r="B575" t="s">
        <v>794</v>
      </c>
      <c r="C575" t="s">
        <v>2359</v>
      </c>
      <c r="D575" t="s">
        <v>796</v>
      </c>
    </row>
    <row r="576" spans="1:4" x14ac:dyDescent="0.25">
      <c r="A576" t="s">
        <v>3169</v>
      </c>
      <c r="B576" t="s">
        <v>792</v>
      </c>
      <c r="C576" t="s">
        <v>2357</v>
      </c>
      <c r="D576" t="s">
        <v>796</v>
      </c>
    </row>
    <row r="577" spans="1:4" x14ac:dyDescent="0.25">
      <c r="A577" t="s">
        <v>3170</v>
      </c>
      <c r="B577" t="s">
        <v>796</v>
      </c>
      <c r="C577" t="s">
        <v>2359</v>
      </c>
      <c r="D577" t="s">
        <v>798</v>
      </c>
    </row>
    <row r="578" spans="1:4" x14ac:dyDescent="0.25">
      <c r="A578" t="s">
        <v>3171</v>
      </c>
      <c r="B578" t="s">
        <v>798</v>
      </c>
      <c r="C578" t="s">
        <v>2359</v>
      </c>
      <c r="D578" t="s">
        <v>3172</v>
      </c>
    </row>
    <row r="579" spans="1:4" x14ac:dyDescent="0.25">
      <c r="A579" t="s">
        <v>3173</v>
      </c>
      <c r="B579" t="s">
        <v>651</v>
      </c>
      <c r="C579" t="s">
        <v>2359</v>
      </c>
      <c r="D579" t="s">
        <v>803</v>
      </c>
    </row>
    <row r="580" spans="1:4" x14ac:dyDescent="0.25">
      <c r="A580" t="s">
        <v>3174</v>
      </c>
      <c r="B580" t="s">
        <v>801</v>
      </c>
      <c r="C580" t="s">
        <v>2357</v>
      </c>
      <c r="D580" t="s">
        <v>803</v>
      </c>
    </row>
    <row r="581" spans="1:4" x14ac:dyDescent="0.25">
      <c r="A581" t="s">
        <v>3175</v>
      </c>
      <c r="B581" t="s">
        <v>803</v>
      </c>
      <c r="C581" t="s">
        <v>2359</v>
      </c>
      <c r="D581" t="s">
        <v>3176</v>
      </c>
    </row>
    <row r="582" spans="1:4" x14ac:dyDescent="0.25">
      <c r="A582" t="s">
        <v>3177</v>
      </c>
      <c r="B582" t="s">
        <v>801</v>
      </c>
      <c r="C582" t="s">
        <v>2357</v>
      </c>
      <c r="D582" t="s">
        <v>3176</v>
      </c>
    </row>
    <row r="583" spans="1:4" x14ac:dyDescent="0.25">
      <c r="A583" t="s">
        <v>3178</v>
      </c>
      <c r="B583" t="s">
        <v>803</v>
      </c>
      <c r="C583" t="s">
        <v>2359</v>
      </c>
      <c r="D583" t="s">
        <v>3179</v>
      </c>
    </row>
    <row r="584" spans="1:4" x14ac:dyDescent="0.25">
      <c r="A584" t="s">
        <v>3180</v>
      </c>
      <c r="B584" t="s">
        <v>801</v>
      </c>
      <c r="C584" t="s">
        <v>2357</v>
      </c>
      <c r="D584" t="s">
        <v>3179</v>
      </c>
    </row>
    <row r="585" spans="1:4" x14ac:dyDescent="0.25">
      <c r="A585" t="s">
        <v>3181</v>
      </c>
      <c r="B585" t="s">
        <v>3176</v>
      </c>
      <c r="C585" t="s">
        <v>2366</v>
      </c>
      <c r="D585" t="s">
        <v>3182</v>
      </c>
    </row>
    <row r="586" spans="1:4" x14ac:dyDescent="0.25">
      <c r="A586" t="s">
        <v>3183</v>
      </c>
      <c r="B586" t="s">
        <v>3179</v>
      </c>
      <c r="C586" t="s">
        <v>2366</v>
      </c>
      <c r="D586" t="s">
        <v>3182</v>
      </c>
    </row>
    <row r="587" spans="1:4" x14ac:dyDescent="0.25">
      <c r="A587" t="s">
        <v>3184</v>
      </c>
      <c r="B587" t="s">
        <v>810</v>
      </c>
      <c r="C587" t="s">
        <v>2359</v>
      </c>
      <c r="D587" t="s">
        <v>812</v>
      </c>
    </row>
    <row r="588" spans="1:4" x14ac:dyDescent="0.25">
      <c r="A588" t="s">
        <v>3185</v>
      </c>
      <c r="B588" t="s">
        <v>811</v>
      </c>
      <c r="C588" t="s">
        <v>2357</v>
      </c>
      <c r="D588" t="s">
        <v>812</v>
      </c>
    </row>
    <row r="589" spans="1:4" x14ac:dyDescent="0.25">
      <c r="A589" t="s">
        <v>3186</v>
      </c>
      <c r="B589" t="s">
        <v>812</v>
      </c>
      <c r="C589" t="s">
        <v>2359</v>
      </c>
      <c r="D589" t="s">
        <v>687</v>
      </c>
    </row>
    <row r="590" spans="1:4" x14ac:dyDescent="0.25">
      <c r="A590" t="s">
        <v>3187</v>
      </c>
      <c r="B590" t="s">
        <v>811</v>
      </c>
      <c r="C590" t="s">
        <v>2357</v>
      </c>
      <c r="D590" t="s">
        <v>687</v>
      </c>
    </row>
    <row r="591" spans="1:4" x14ac:dyDescent="0.25">
      <c r="A591" t="s">
        <v>3188</v>
      </c>
      <c r="B591" t="s">
        <v>127</v>
      </c>
      <c r="C591" t="s">
        <v>2359</v>
      </c>
      <c r="D591" t="s">
        <v>816</v>
      </c>
    </row>
    <row r="592" spans="1:4" x14ac:dyDescent="0.25">
      <c r="A592" t="s">
        <v>3189</v>
      </c>
      <c r="B592" t="s">
        <v>815</v>
      </c>
      <c r="C592" t="s">
        <v>2357</v>
      </c>
      <c r="D592" t="s">
        <v>816</v>
      </c>
    </row>
    <row r="593" spans="1:4" x14ac:dyDescent="0.25">
      <c r="A593" t="s">
        <v>3190</v>
      </c>
      <c r="B593" t="s">
        <v>816</v>
      </c>
      <c r="C593" t="s">
        <v>2359</v>
      </c>
      <c r="D593" t="s">
        <v>3191</v>
      </c>
    </row>
    <row r="594" spans="1:4" x14ac:dyDescent="0.25">
      <c r="A594" t="s">
        <v>3192</v>
      </c>
      <c r="B594" t="s">
        <v>815</v>
      </c>
      <c r="C594" t="s">
        <v>2357</v>
      </c>
      <c r="D594" t="s">
        <v>3191</v>
      </c>
    </row>
    <row r="595" spans="1:4" x14ac:dyDescent="0.25">
      <c r="A595" t="s">
        <v>3193</v>
      </c>
      <c r="B595" t="s">
        <v>147</v>
      </c>
      <c r="C595" t="s">
        <v>2475</v>
      </c>
      <c r="D595" t="s">
        <v>149</v>
      </c>
    </row>
    <row r="596" spans="1:4" x14ac:dyDescent="0.25">
      <c r="A596" t="s">
        <v>3194</v>
      </c>
      <c r="B596" t="s">
        <v>162</v>
      </c>
      <c r="C596" t="s">
        <v>2475</v>
      </c>
      <c r="D596" t="s">
        <v>165</v>
      </c>
    </row>
    <row r="597" spans="1:4" x14ac:dyDescent="0.25">
      <c r="A597" t="s">
        <v>3195</v>
      </c>
      <c r="B597" t="s">
        <v>203</v>
      </c>
      <c r="C597" t="s">
        <v>2475</v>
      </c>
      <c r="D597" t="s">
        <v>205</v>
      </c>
    </row>
    <row r="598" spans="1:4" x14ac:dyDescent="0.25">
      <c r="A598" t="s">
        <v>3196</v>
      </c>
      <c r="B598" t="s">
        <v>203</v>
      </c>
      <c r="C598" t="s">
        <v>2475</v>
      </c>
      <c r="D598" t="s">
        <v>207</v>
      </c>
    </row>
    <row r="599" spans="1:4" x14ac:dyDescent="0.25">
      <c r="A599" t="s">
        <v>3197</v>
      </c>
      <c r="B599" t="s">
        <v>205</v>
      </c>
      <c r="C599" t="s">
        <v>2475</v>
      </c>
      <c r="D599" t="s">
        <v>207</v>
      </c>
    </row>
    <row r="600" spans="1:4" x14ac:dyDescent="0.25">
      <c r="A600" t="s">
        <v>3198</v>
      </c>
      <c r="B600" t="s">
        <v>286</v>
      </c>
      <c r="C600" t="s">
        <v>2475</v>
      </c>
      <c r="D600" t="s">
        <v>288</v>
      </c>
    </row>
    <row r="601" spans="1:4" x14ac:dyDescent="0.25">
      <c r="A601" t="s">
        <v>3199</v>
      </c>
      <c r="B601" t="s">
        <v>355</v>
      </c>
      <c r="C601" t="s">
        <v>2475</v>
      </c>
      <c r="D601" t="s">
        <v>357</v>
      </c>
    </row>
    <row r="602" spans="1:4" x14ac:dyDescent="0.25">
      <c r="A602" t="s">
        <v>3200</v>
      </c>
      <c r="B602" t="s">
        <v>410</v>
      </c>
      <c r="C602" t="s">
        <v>2475</v>
      </c>
      <c r="D602" t="s">
        <v>413</v>
      </c>
    </row>
    <row r="603" spans="1:4" x14ac:dyDescent="0.25">
      <c r="A603" t="s">
        <v>3201</v>
      </c>
      <c r="B603" t="s">
        <v>447</v>
      </c>
      <c r="C603" t="s">
        <v>2475</v>
      </c>
      <c r="D603" t="s">
        <v>451</v>
      </c>
    </row>
    <row r="604" spans="1:4" x14ac:dyDescent="0.25">
      <c r="A604" t="s">
        <v>3202</v>
      </c>
      <c r="B604" t="s">
        <v>447</v>
      </c>
      <c r="C604" t="s">
        <v>2475</v>
      </c>
      <c r="D604" t="s">
        <v>454</v>
      </c>
    </row>
    <row r="605" spans="1:4" x14ac:dyDescent="0.25">
      <c r="A605" t="s">
        <v>3203</v>
      </c>
      <c r="B605" t="s">
        <v>447</v>
      </c>
      <c r="C605" t="s">
        <v>2475</v>
      </c>
      <c r="D605" t="s">
        <v>457</v>
      </c>
    </row>
    <row r="606" spans="1:4" x14ac:dyDescent="0.25">
      <c r="A606" t="s">
        <v>3204</v>
      </c>
      <c r="B606" t="s">
        <v>451</v>
      </c>
      <c r="C606" t="s">
        <v>2475</v>
      </c>
      <c r="D606" t="s">
        <v>454</v>
      </c>
    </row>
    <row r="607" spans="1:4" x14ac:dyDescent="0.25">
      <c r="A607" t="s">
        <v>3205</v>
      </c>
      <c r="B607" t="s">
        <v>451</v>
      </c>
      <c r="C607" t="s">
        <v>2475</v>
      </c>
      <c r="D607" t="s">
        <v>457</v>
      </c>
    </row>
    <row r="608" spans="1:4" x14ac:dyDescent="0.25">
      <c r="A608" t="s">
        <v>3206</v>
      </c>
      <c r="B608" t="s">
        <v>454</v>
      </c>
      <c r="C608" t="s">
        <v>2475</v>
      </c>
      <c r="D608" t="s">
        <v>457</v>
      </c>
    </row>
    <row r="609" spans="1:4" x14ac:dyDescent="0.25">
      <c r="A609" t="s">
        <v>3207</v>
      </c>
      <c r="B609" t="s">
        <v>467</v>
      </c>
      <c r="C609" t="s">
        <v>2475</v>
      </c>
      <c r="D609" t="s">
        <v>469</v>
      </c>
    </row>
    <row r="610" spans="1:4" x14ac:dyDescent="0.25">
      <c r="A610" t="s">
        <v>3208</v>
      </c>
      <c r="B610" t="s">
        <v>486</v>
      </c>
      <c r="C610" t="s">
        <v>2475</v>
      </c>
      <c r="D610" t="s">
        <v>488</v>
      </c>
    </row>
    <row r="611" spans="1:4" x14ac:dyDescent="0.25">
      <c r="A611" t="s">
        <v>3209</v>
      </c>
      <c r="B611" t="s">
        <v>486</v>
      </c>
      <c r="C611" t="s">
        <v>2475</v>
      </c>
      <c r="D611" t="s">
        <v>490</v>
      </c>
    </row>
    <row r="612" spans="1:4" x14ac:dyDescent="0.25">
      <c r="A612" t="s">
        <v>3210</v>
      </c>
      <c r="B612" t="s">
        <v>488</v>
      </c>
      <c r="C612" t="s">
        <v>2475</v>
      </c>
      <c r="D612" t="s">
        <v>490</v>
      </c>
    </row>
    <row r="613" spans="1:4" x14ac:dyDescent="0.25">
      <c r="A613" t="s">
        <v>3211</v>
      </c>
      <c r="B613" t="s">
        <v>511</v>
      </c>
      <c r="C613" t="s">
        <v>2475</v>
      </c>
      <c r="D613" t="s">
        <v>512</v>
      </c>
    </row>
    <row r="614" spans="1:4" x14ac:dyDescent="0.25">
      <c r="A614" t="s">
        <v>3212</v>
      </c>
      <c r="B614" t="s">
        <v>518</v>
      </c>
      <c r="C614" t="s">
        <v>2475</v>
      </c>
      <c r="D614" t="s">
        <v>520</v>
      </c>
    </row>
    <row r="615" spans="1:4" x14ac:dyDescent="0.25">
      <c r="A615" t="s">
        <v>3213</v>
      </c>
      <c r="B615" t="s">
        <v>587</v>
      </c>
      <c r="C615" t="s">
        <v>2475</v>
      </c>
      <c r="D615" t="s">
        <v>589</v>
      </c>
    </row>
    <row r="616" spans="1:4" x14ac:dyDescent="0.25">
      <c r="A616" t="s">
        <v>3214</v>
      </c>
      <c r="B616" t="s">
        <v>594</v>
      </c>
      <c r="C616" t="s">
        <v>2475</v>
      </c>
      <c r="D616" t="s">
        <v>595</v>
      </c>
    </row>
    <row r="617" spans="1:4" x14ac:dyDescent="0.25">
      <c r="A617" t="s">
        <v>3215</v>
      </c>
      <c r="B617" t="s">
        <v>634</v>
      </c>
      <c r="C617" t="s">
        <v>2475</v>
      </c>
      <c r="D617" t="s">
        <v>636</v>
      </c>
    </row>
    <row r="618" spans="1:4" x14ac:dyDescent="0.25">
      <c r="A618" t="s">
        <v>3216</v>
      </c>
      <c r="B618" t="s">
        <v>634</v>
      </c>
      <c r="C618" t="s">
        <v>2475</v>
      </c>
      <c r="D618" t="s">
        <v>638</v>
      </c>
    </row>
    <row r="619" spans="1:4" x14ac:dyDescent="0.25">
      <c r="A619" t="s">
        <v>3217</v>
      </c>
      <c r="B619" t="s">
        <v>636</v>
      </c>
      <c r="C619" t="s">
        <v>2475</v>
      </c>
      <c r="D619" t="s">
        <v>638</v>
      </c>
    </row>
    <row r="620" spans="1:4" x14ac:dyDescent="0.25">
      <c r="A620" t="s">
        <v>3218</v>
      </c>
      <c r="B620" t="s">
        <v>645</v>
      </c>
      <c r="C620" t="s">
        <v>2475</v>
      </c>
      <c r="D620" t="s">
        <v>647</v>
      </c>
    </row>
    <row r="621" spans="1:4" x14ac:dyDescent="0.25">
      <c r="A621" t="s">
        <v>3219</v>
      </c>
      <c r="B621" t="s">
        <v>725</v>
      </c>
      <c r="C621" t="s">
        <v>2475</v>
      </c>
      <c r="D621" t="s">
        <v>727</v>
      </c>
    </row>
    <row r="622" spans="1:4" x14ac:dyDescent="0.25">
      <c r="A622" t="s">
        <v>3220</v>
      </c>
      <c r="B622" t="s">
        <v>759</v>
      </c>
      <c r="C622" t="s">
        <v>2475</v>
      </c>
      <c r="D622" t="s">
        <v>761</v>
      </c>
    </row>
    <row r="623" spans="1:4" x14ac:dyDescent="0.25">
      <c r="A623" t="s">
        <v>3221</v>
      </c>
      <c r="B623" t="s">
        <v>770</v>
      </c>
      <c r="C623" t="s">
        <v>2475</v>
      </c>
      <c r="D623" t="s">
        <v>772</v>
      </c>
    </row>
    <row r="624" spans="1:4" x14ac:dyDescent="0.25">
      <c r="A624" t="s">
        <v>3222</v>
      </c>
      <c r="B624" t="s">
        <v>778</v>
      </c>
      <c r="C624" t="s">
        <v>2475</v>
      </c>
      <c r="D624" t="s">
        <v>780</v>
      </c>
    </row>
    <row r="625" spans="1:4" x14ac:dyDescent="0.25">
      <c r="A625" t="s">
        <v>3223</v>
      </c>
      <c r="B625" t="s">
        <v>804</v>
      </c>
      <c r="C625" t="s">
        <v>2475</v>
      </c>
      <c r="D625" t="s">
        <v>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28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22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3224</v>
      </c>
      <c r="B2" t="s">
        <v>127</v>
      </c>
      <c r="C2" t="s">
        <v>2359</v>
      </c>
      <c r="D2" t="s">
        <v>823</v>
      </c>
    </row>
    <row r="3" spans="1:4" x14ac:dyDescent="0.25">
      <c r="A3" t="s">
        <v>3225</v>
      </c>
      <c r="B3" t="s">
        <v>821</v>
      </c>
      <c r="C3" t="s">
        <v>2357</v>
      </c>
      <c r="D3" t="s">
        <v>823</v>
      </c>
    </row>
    <row r="4" spans="1:4" x14ac:dyDescent="0.25">
      <c r="A4" t="s">
        <v>3226</v>
      </c>
      <c r="B4" t="s">
        <v>823</v>
      </c>
      <c r="C4" t="s">
        <v>2359</v>
      </c>
      <c r="D4" t="s">
        <v>3227</v>
      </c>
    </row>
    <row r="5" spans="1:4" x14ac:dyDescent="0.25">
      <c r="A5" t="s">
        <v>3228</v>
      </c>
      <c r="B5" t="s">
        <v>821</v>
      </c>
      <c r="C5" t="s">
        <v>2357</v>
      </c>
      <c r="D5" t="s">
        <v>3227</v>
      </c>
    </row>
    <row r="6" spans="1:4" x14ac:dyDescent="0.25">
      <c r="A6" t="s">
        <v>3229</v>
      </c>
      <c r="B6" t="s">
        <v>823</v>
      </c>
      <c r="C6" t="s">
        <v>2359</v>
      </c>
      <c r="D6" t="s">
        <v>3230</v>
      </c>
    </row>
    <row r="7" spans="1:4" x14ac:dyDescent="0.25">
      <c r="A7" t="s">
        <v>3231</v>
      </c>
      <c r="B7" t="s">
        <v>821</v>
      </c>
      <c r="C7" t="s">
        <v>2357</v>
      </c>
      <c r="D7" t="s">
        <v>3230</v>
      </c>
    </row>
    <row r="8" spans="1:4" x14ac:dyDescent="0.25">
      <c r="A8" t="s">
        <v>3232</v>
      </c>
      <c r="B8" t="s">
        <v>823</v>
      </c>
      <c r="C8" t="s">
        <v>2359</v>
      </c>
      <c r="D8" t="s">
        <v>3233</v>
      </c>
    </row>
    <row r="9" spans="1:4" x14ac:dyDescent="0.25">
      <c r="A9" t="s">
        <v>3234</v>
      </c>
      <c r="B9" t="s">
        <v>821</v>
      </c>
      <c r="C9" t="s">
        <v>2357</v>
      </c>
      <c r="D9" t="s">
        <v>3233</v>
      </c>
    </row>
    <row r="10" spans="1:4" x14ac:dyDescent="0.25">
      <c r="A10" t="s">
        <v>3235</v>
      </c>
      <c r="B10" t="s">
        <v>3227</v>
      </c>
      <c r="C10" t="s">
        <v>2366</v>
      </c>
      <c r="D10" t="s">
        <v>832</v>
      </c>
    </row>
    <row r="11" spans="1:4" x14ac:dyDescent="0.25">
      <c r="A11" t="s">
        <v>3236</v>
      </c>
      <c r="B11" t="s">
        <v>3230</v>
      </c>
      <c r="C11" t="s">
        <v>2366</v>
      </c>
      <c r="D11" t="s">
        <v>832</v>
      </c>
    </row>
    <row r="12" spans="1:4" x14ac:dyDescent="0.25">
      <c r="A12" t="s">
        <v>3237</v>
      </c>
      <c r="B12" t="s">
        <v>3233</v>
      </c>
      <c r="C12" t="s">
        <v>2366</v>
      </c>
      <c r="D12" t="s">
        <v>832</v>
      </c>
    </row>
    <row r="13" spans="1:4" x14ac:dyDescent="0.25">
      <c r="A13" t="s">
        <v>3238</v>
      </c>
      <c r="B13" t="s">
        <v>831</v>
      </c>
      <c r="C13" t="s">
        <v>2357</v>
      </c>
      <c r="D13" t="s">
        <v>832</v>
      </c>
    </row>
    <row r="14" spans="1:4" x14ac:dyDescent="0.25">
      <c r="A14" t="s">
        <v>3239</v>
      </c>
      <c r="B14" t="s">
        <v>832</v>
      </c>
      <c r="C14" t="s">
        <v>2359</v>
      </c>
      <c r="D14" t="s">
        <v>835</v>
      </c>
    </row>
    <row r="15" spans="1:4" x14ac:dyDescent="0.25">
      <c r="A15" t="s">
        <v>3240</v>
      </c>
      <c r="B15" t="s">
        <v>831</v>
      </c>
      <c r="C15" t="s">
        <v>2357</v>
      </c>
      <c r="D15" t="s">
        <v>835</v>
      </c>
    </row>
    <row r="16" spans="1:4" x14ac:dyDescent="0.25">
      <c r="A16" t="s">
        <v>3241</v>
      </c>
      <c r="B16" t="s">
        <v>835</v>
      </c>
      <c r="C16" t="s">
        <v>2359</v>
      </c>
      <c r="D16" t="s">
        <v>838</v>
      </c>
    </row>
    <row r="17" spans="1:4" x14ac:dyDescent="0.25">
      <c r="A17" t="s">
        <v>3242</v>
      </c>
      <c r="B17" t="s">
        <v>836</v>
      </c>
      <c r="C17" t="s">
        <v>2357</v>
      </c>
      <c r="D17" t="s">
        <v>838</v>
      </c>
    </row>
    <row r="18" spans="1:4" x14ac:dyDescent="0.25">
      <c r="A18" t="s">
        <v>3243</v>
      </c>
      <c r="B18" t="s">
        <v>838</v>
      </c>
      <c r="C18" t="s">
        <v>2359</v>
      </c>
      <c r="D18" t="s">
        <v>3244</v>
      </c>
    </row>
    <row r="19" spans="1:4" x14ac:dyDescent="0.25">
      <c r="A19" t="s">
        <v>3245</v>
      </c>
      <c r="B19" t="s">
        <v>836</v>
      </c>
      <c r="C19" t="s">
        <v>2357</v>
      </c>
      <c r="D19" t="s">
        <v>3244</v>
      </c>
    </row>
    <row r="20" spans="1:4" x14ac:dyDescent="0.25">
      <c r="A20" t="s">
        <v>3246</v>
      </c>
      <c r="B20" t="s">
        <v>838</v>
      </c>
      <c r="C20" t="s">
        <v>2359</v>
      </c>
      <c r="D20" t="s">
        <v>843</v>
      </c>
    </row>
    <row r="21" spans="1:4" x14ac:dyDescent="0.25">
      <c r="A21" t="s">
        <v>3247</v>
      </c>
      <c r="B21" t="s">
        <v>836</v>
      </c>
      <c r="C21" t="s">
        <v>2357</v>
      </c>
      <c r="D21" t="s">
        <v>843</v>
      </c>
    </row>
    <row r="22" spans="1:4" x14ac:dyDescent="0.25">
      <c r="A22" t="s">
        <v>3248</v>
      </c>
      <c r="B22" t="s">
        <v>843</v>
      </c>
      <c r="C22" t="s">
        <v>2359</v>
      </c>
      <c r="D22" t="s">
        <v>3249</v>
      </c>
    </row>
    <row r="23" spans="1:4" x14ac:dyDescent="0.25">
      <c r="A23" t="s">
        <v>3250</v>
      </c>
      <c r="B23" t="s">
        <v>3244</v>
      </c>
      <c r="C23" t="s">
        <v>2366</v>
      </c>
      <c r="D23" t="s">
        <v>849</v>
      </c>
    </row>
    <row r="24" spans="1:4" x14ac:dyDescent="0.25">
      <c r="A24" t="s">
        <v>3251</v>
      </c>
      <c r="B24" t="s">
        <v>843</v>
      </c>
      <c r="C24" t="s">
        <v>2366</v>
      </c>
      <c r="D24" t="s">
        <v>849</v>
      </c>
    </row>
    <row r="25" spans="1:4" x14ac:dyDescent="0.25">
      <c r="A25" t="s">
        <v>3252</v>
      </c>
      <c r="B25" t="s">
        <v>847</v>
      </c>
      <c r="C25" t="s">
        <v>2357</v>
      </c>
      <c r="D25" t="s">
        <v>849</v>
      </c>
    </row>
    <row r="26" spans="1:4" x14ac:dyDescent="0.25">
      <c r="A26" t="s">
        <v>3253</v>
      </c>
      <c r="B26" t="s">
        <v>849</v>
      </c>
      <c r="C26" t="s">
        <v>2359</v>
      </c>
      <c r="D26" t="s">
        <v>851</v>
      </c>
    </row>
    <row r="27" spans="1:4" x14ac:dyDescent="0.25">
      <c r="A27" t="s">
        <v>3254</v>
      </c>
      <c r="B27" t="s">
        <v>847</v>
      </c>
      <c r="C27" t="s">
        <v>2357</v>
      </c>
      <c r="D27" t="s">
        <v>851</v>
      </c>
    </row>
    <row r="28" spans="1:4" x14ac:dyDescent="0.25">
      <c r="A28" t="s">
        <v>3255</v>
      </c>
      <c r="B28" t="s">
        <v>851</v>
      </c>
      <c r="C28" t="s">
        <v>2359</v>
      </c>
      <c r="D28" t="s">
        <v>853</v>
      </c>
    </row>
    <row r="29" spans="1:4" x14ac:dyDescent="0.25">
      <c r="A29" t="s">
        <v>3256</v>
      </c>
      <c r="B29" t="s">
        <v>853</v>
      </c>
      <c r="C29" t="s">
        <v>2359</v>
      </c>
      <c r="D29" t="s">
        <v>855</v>
      </c>
    </row>
    <row r="30" spans="1:4" x14ac:dyDescent="0.25">
      <c r="A30" t="s">
        <v>3257</v>
      </c>
      <c r="B30" t="s">
        <v>855</v>
      </c>
      <c r="C30" t="s">
        <v>2359</v>
      </c>
      <c r="D30" t="s">
        <v>3258</v>
      </c>
    </row>
    <row r="31" spans="1:4" x14ac:dyDescent="0.25">
      <c r="A31" t="s">
        <v>3259</v>
      </c>
      <c r="B31" t="s">
        <v>855</v>
      </c>
      <c r="C31" t="s">
        <v>2359</v>
      </c>
      <c r="D31" t="s">
        <v>3260</v>
      </c>
    </row>
    <row r="32" spans="1:4" x14ac:dyDescent="0.25">
      <c r="A32" t="s">
        <v>3261</v>
      </c>
      <c r="B32" t="s">
        <v>3258</v>
      </c>
      <c r="C32" t="s">
        <v>2366</v>
      </c>
      <c r="D32" t="s">
        <v>862</v>
      </c>
    </row>
    <row r="33" spans="1:4" x14ac:dyDescent="0.25">
      <c r="A33" t="s">
        <v>3262</v>
      </c>
      <c r="B33" t="s">
        <v>3260</v>
      </c>
      <c r="C33" t="s">
        <v>2366</v>
      </c>
      <c r="D33" t="s">
        <v>862</v>
      </c>
    </row>
    <row r="34" spans="1:4" x14ac:dyDescent="0.25">
      <c r="A34" t="s">
        <v>3263</v>
      </c>
      <c r="B34" t="s">
        <v>862</v>
      </c>
      <c r="C34" t="s">
        <v>2359</v>
      </c>
      <c r="D34" t="s">
        <v>864</v>
      </c>
    </row>
    <row r="35" spans="1:4" x14ac:dyDescent="0.25">
      <c r="A35" t="s">
        <v>3264</v>
      </c>
      <c r="B35" t="s">
        <v>864</v>
      </c>
      <c r="C35" t="s">
        <v>2359</v>
      </c>
      <c r="D35" t="s">
        <v>866</v>
      </c>
    </row>
    <row r="36" spans="1:4" x14ac:dyDescent="0.25">
      <c r="A36" t="s">
        <v>3265</v>
      </c>
      <c r="B36" t="s">
        <v>866</v>
      </c>
      <c r="C36" t="s">
        <v>2359</v>
      </c>
      <c r="D36" t="s">
        <v>868</v>
      </c>
    </row>
    <row r="37" spans="1:4" x14ac:dyDescent="0.25">
      <c r="A37" t="s">
        <v>3266</v>
      </c>
      <c r="B37" t="s">
        <v>868</v>
      </c>
      <c r="C37" t="s">
        <v>2359</v>
      </c>
      <c r="D37" t="s">
        <v>871</v>
      </c>
    </row>
    <row r="38" spans="1:4" x14ac:dyDescent="0.25">
      <c r="A38" t="s">
        <v>3267</v>
      </c>
      <c r="B38" t="s">
        <v>871</v>
      </c>
      <c r="C38" t="s">
        <v>2359</v>
      </c>
      <c r="D38" t="s">
        <v>874</v>
      </c>
    </row>
    <row r="39" spans="1:4" x14ac:dyDescent="0.25">
      <c r="A39" t="s">
        <v>3268</v>
      </c>
      <c r="B39" t="s">
        <v>872</v>
      </c>
      <c r="C39" t="s">
        <v>2357</v>
      </c>
      <c r="D39" t="s">
        <v>874</v>
      </c>
    </row>
    <row r="40" spans="1:4" x14ac:dyDescent="0.25">
      <c r="A40" t="s">
        <v>3269</v>
      </c>
      <c r="B40" t="s">
        <v>874</v>
      </c>
      <c r="C40" t="s">
        <v>2359</v>
      </c>
      <c r="D40" t="s">
        <v>876</v>
      </c>
    </row>
    <row r="41" spans="1:4" x14ac:dyDescent="0.25">
      <c r="A41" t="s">
        <v>3270</v>
      </c>
      <c r="B41" t="s">
        <v>872</v>
      </c>
      <c r="C41" t="s">
        <v>2357</v>
      </c>
      <c r="D41" t="s">
        <v>876</v>
      </c>
    </row>
    <row r="42" spans="1:4" x14ac:dyDescent="0.25">
      <c r="A42" t="s">
        <v>3271</v>
      </c>
      <c r="B42" t="s">
        <v>876</v>
      </c>
      <c r="C42" t="s">
        <v>2359</v>
      </c>
      <c r="D42" t="s">
        <v>881</v>
      </c>
    </row>
    <row r="43" spans="1:4" x14ac:dyDescent="0.25">
      <c r="A43" t="s">
        <v>3272</v>
      </c>
      <c r="B43" t="s">
        <v>876</v>
      </c>
      <c r="C43" t="s">
        <v>2359</v>
      </c>
      <c r="D43" t="s">
        <v>883</v>
      </c>
    </row>
    <row r="44" spans="1:4" x14ac:dyDescent="0.25">
      <c r="A44" t="s">
        <v>3273</v>
      </c>
      <c r="B44" t="s">
        <v>881</v>
      </c>
      <c r="C44" t="s">
        <v>2359</v>
      </c>
      <c r="D44" t="s">
        <v>3274</v>
      </c>
    </row>
    <row r="45" spans="1:4" x14ac:dyDescent="0.25">
      <c r="A45" t="s">
        <v>3275</v>
      </c>
      <c r="B45" t="s">
        <v>883</v>
      </c>
      <c r="C45" t="s">
        <v>2359</v>
      </c>
      <c r="D45" t="s">
        <v>3276</v>
      </c>
    </row>
    <row r="46" spans="1:4" x14ac:dyDescent="0.25">
      <c r="A46" t="s">
        <v>3277</v>
      </c>
      <c r="B46" t="s">
        <v>3274</v>
      </c>
      <c r="C46" t="s">
        <v>2366</v>
      </c>
      <c r="D46" t="s">
        <v>887</v>
      </c>
    </row>
    <row r="47" spans="1:4" x14ac:dyDescent="0.25">
      <c r="A47" t="s">
        <v>3278</v>
      </c>
      <c r="B47" t="s">
        <v>3276</v>
      </c>
      <c r="C47" t="s">
        <v>2366</v>
      </c>
      <c r="D47" t="s">
        <v>887</v>
      </c>
    </row>
    <row r="48" spans="1:4" x14ac:dyDescent="0.25">
      <c r="A48" t="s">
        <v>3279</v>
      </c>
      <c r="B48" t="s">
        <v>887</v>
      </c>
      <c r="C48" t="s">
        <v>2359</v>
      </c>
      <c r="D48" t="s">
        <v>889</v>
      </c>
    </row>
    <row r="49" spans="1:4" x14ac:dyDescent="0.25">
      <c r="A49" t="s">
        <v>3280</v>
      </c>
      <c r="B49" t="s">
        <v>889</v>
      </c>
      <c r="C49" t="s">
        <v>2359</v>
      </c>
      <c r="D49" t="s">
        <v>891</v>
      </c>
    </row>
    <row r="50" spans="1:4" x14ac:dyDescent="0.25">
      <c r="A50" t="s">
        <v>3281</v>
      </c>
      <c r="B50" t="s">
        <v>891</v>
      </c>
      <c r="C50" t="s">
        <v>2359</v>
      </c>
      <c r="D50" t="s">
        <v>894</v>
      </c>
    </row>
    <row r="51" spans="1:4" x14ac:dyDescent="0.25">
      <c r="A51" t="s">
        <v>3282</v>
      </c>
      <c r="B51" t="s">
        <v>872</v>
      </c>
      <c r="C51" t="s">
        <v>2357</v>
      </c>
      <c r="D51" t="s">
        <v>894</v>
      </c>
    </row>
    <row r="52" spans="1:4" x14ac:dyDescent="0.25">
      <c r="A52" t="s">
        <v>3283</v>
      </c>
      <c r="B52" t="s">
        <v>894</v>
      </c>
      <c r="C52" t="s">
        <v>2359</v>
      </c>
      <c r="D52" t="s">
        <v>896</v>
      </c>
    </row>
    <row r="53" spans="1:4" x14ac:dyDescent="0.25">
      <c r="A53" t="s">
        <v>3284</v>
      </c>
      <c r="B53" t="s">
        <v>895</v>
      </c>
      <c r="C53" t="s">
        <v>2357</v>
      </c>
      <c r="D53" t="s">
        <v>896</v>
      </c>
    </row>
    <row r="54" spans="1:4" x14ac:dyDescent="0.25">
      <c r="A54" t="s">
        <v>3285</v>
      </c>
      <c r="B54" t="s">
        <v>896</v>
      </c>
      <c r="C54" t="s">
        <v>2359</v>
      </c>
      <c r="D54" t="s">
        <v>899</v>
      </c>
    </row>
    <row r="55" spans="1:4" x14ac:dyDescent="0.25">
      <c r="A55" t="s">
        <v>3286</v>
      </c>
      <c r="B55" t="s">
        <v>895</v>
      </c>
      <c r="C55" t="s">
        <v>2357</v>
      </c>
      <c r="D55" t="s">
        <v>899</v>
      </c>
    </row>
    <row r="56" spans="1:4" x14ac:dyDescent="0.25">
      <c r="A56" t="s">
        <v>3287</v>
      </c>
      <c r="B56" t="s">
        <v>899</v>
      </c>
      <c r="C56" t="s">
        <v>2359</v>
      </c>
      <c r="D56" t="s">
        <v>900</v>
      </c>
    </row>
    <row r="57" spans="1:4" x14ac:dyDescent="0.25">
      <c r="A57" t="s">
        <v>3288</v>
      </c>
      <c r="B57" t="s">
        <v>872</v>
      </c>
      <c r="C57" t="s">
        <v>2357</v>
      </c>
      <c r="D57" t="s">
        <v>900</v>
      </c>
    </row>
    <row r="58" spans="1:4" x14ac:dyDescent="0.25">
      <c r="A58" t="s">
        <v>3289</v>
      </c>
      <c r="B58" t="s">
        <v>900</v>
      </c>
      <c r="C58" t="s">
        <v>2359</v>
      </c>
      <c r="D58" t="s">
        <v>903</v>
      </c>
    </row>
    <row r="59" spans="1:4" x14ac:dyDescent="0.25">
      <c r="A59" t="s">
        <v>3290</v>
      </c>
      <c r="B59" t="s">
        <v>872</v>
      </c>
      <c r="C59" t="s">
        <v>2357</v>
      </c>
      <c r="D59" t="s">
        <v>903</v>
      </c>
    </row>
    <row r="60" spans="1:4" x14ac:dyDescent="0.25">
      <c r="A60" t="s">
        <v>3291</v>
      </c>
      <c r="B60" t="s">
        <v>903</v>
      </c>
      <c r="C60" t="s">
        <v>2359</v>
      </c>
      <c r="D60" t="s">
        <v>906</v>
      </c>
    </row>
    <row r="61" spans="1:4" x14ac:dyDescent="0.25">
      <c r="A61" t="s">
        <v>3292</v>
      </c>
      <c r="B61" t="s">
        <v>904</v>
      </c>
      <c r="C61" t="s">
        <v>2357</v>
      </c>
      <c r="D61" t="s">
        <v>906</v>
      </c>
    </row>
    <row r="62" spans="1:4" x14ac:dyDescent="0.25">
      <c r="A62" t="s">
        <v>3293</v>
      </c>
      <c r="B62" t="s">
        <v>906</v>
      </c>
      <c r="C62" t="s">
        <v>2359</v>
      </c>
      <c r="D62" t="s">
        <v>908</v>
      </c>
    </row>
    <row r="63" spans="1:4" x14ac:dyDescent="0.25">
      <c r="A63" t="s">
        <v>3294</v>
      </c>
      <c r="B63" t="s">
        <v>904</v>
      </c>
      <c r="C63" t="s">
        <v>2357</v>
      </c>
      <c r="D63" t="s">
        <v>908</v>
      </c>
    </row>
    <row r="64" spans="1:4" x14ac:dyDescent="0.25">
      <c r="A64" t="s">
        <v>3295</v>
      </c>
      <c r="B64" t="s">
        <v>908</v>
      </c>
      <c r="C64" t="s">
        <v>2359</v>
      </c>
      <c r="D64" t="s">
        <v>910</v>
      </c>
    </row>
    <row r="65" spans="1:4" x14ac:dyDescent="0.25">
      <c r="A65" t="s">
        <v>3296</v>
      </c>
      <c r="B65" t="s">
        <v>904</v>
      </c>
      <c r="C65" t="s">
        <v>2357</v>
      </c>
      <c r="D65" t="s">
        <v>910</v>
      </c>
    </row>
    <row r="66" spans="1:4" x14ac:dyDescent="0.25">
      <c r="A66" t="s">
        <v>3297</v>
      </c>
      <c r="B66" t="s">
        <v>910</v>
      </c>
      <c r="C66" t="s">
        <v>2359</v>
      </c>
      <c r="D66" t="s">
        <v>912</v>
      </c>
    </row>
    <row r="67" spans="1:4" x14ac:dyDescent="0.25">
      <c r="A67" t="s">
        <v>3298</v>
      </c>
      <c r="B67" t="s">
        <v>912</v>
      </c>
      <c r="C67" t="s">
        <v>2359</v>
      </c>
      <c r="D67" t="s">
        <v>917</v>
      </c>
    </row>
    <row r="68" spans="1:4" x14ac:dyDescent="0.25">
      <c r="A68" t="s">
        <v>3299</v>
      </c>
      <c r="B68" t="s">
        <v>913</v>
      </c>
      <c r="C68" t="s">
        <v>2357</v>
      </c>
      <c r="D68" t="s">
        <v>917</v>
      </c>
    </row>
    <row r="69" spans="1:4" x14ac:dyDescent="0.25">
      <c r="A69" t="s">
        <v>3300</v>
      </c>
      <c r="B69" t="s">
        <v>917</v>
      </c>
      <c r="C69" t="s">
        <v>2359</v>
      </c>
      <c r="D69" t="s">
        <v>3301</v>
      </c>
    </row>
    <row r="70" spans="1:4" x14ac:dyDescent="0.25">
      <c r="A70" t="s">
        <v>3302</v>
      </c>
      <c r="B70" t="s">
        <v>913</v>
      </c>
      <c r="C70" t="s">
        <v>2357</v>
      </c>
      <c r="D70" t="s">
        <v>3301</v>
      </c>
    </row>
    <row r="71" spans="1:4" x14ac:dyDescent="0.25">
      <c r="A71" t="s">
        <v>3303</v>
      </c>
      <c r="B71" t="s">
        <v>912</v>
      </c>
      <c r="C71" t="s">
        <v>2359</v>
      </c>
      <c r="D71" t="s">
        <v>922</v>
      </c>
    </row>
    <row r="72" spans="1:4" x14ac:dyDescent="0.25">
      <c r="A72" t="s">
        <v>3304</v>
      </c>
      <c r="B72" t="s">
        <v>913</v>
      </c>
      <c r="C72" t="s">
        <v>2357</v>
      </c>
      <c r="D72" t="s">
        <v>922</v>
      </c>
    </row>
    <row r="73" spans="1:4" x14ac:dyDescent="0.25">
      <c r="A73" t="s">
        <v>3305</v>
      </c>
      <c r="B73" t="s">
        <v>922</v>
      </c>
      <c r="C73" t="s">
        <v>2359</v>
      </c>
      <c r="D73" t="s">
        <v>924</v>
      </c>
    </row>
    <row r="74" spans="1:4" x14ac:dyDescent="0.25">
      <c r="A74" t="s">
        <v>3306</v>
      </c>
      <c r="B74" t="s">
        <v>913</v>
      </c>
      <c r="C74" t="s">
        <v>2357</v>
      </c>
      <c r="D74" t="s">
        <v>924</v>
      </c>
    </row>
    <row r="75" spans="1:4" x14ac:dyDescent="0.25">
      <c r="A75" t="s">
        <v>3307</v>
      </c>
      <c r="B75" t="s">
        <v>924</v>
      </c>
      <c r="C75" t="s">
        <v>2359</v>
      </c>
      <c r="D75" t="s">
        <v>927</v>
      </c>
    </row>
    <row r="76" spans="1:4" x14ac:dyDescent="0.25">
      <c r="A76" t="s">
        <v>3308</v>
      </c>
      <c r="B76" t="s">
        <v>913</v>
      </c>
      <c r="C76" t="s">
        <v>2357</v>
      </c>
      <c r="D76" t="s">
        <v>927</v>
      </c>
    </row>
    <row r="77" spans="1:4" x14ac:dyDescent="0.25">
      <c r="A77" t="s">
        <v>3309</v>
      </c>
      <c r="B77" t="s">
        <v>927</v>
      </c>
      <c r="C77" t="s">
        <v>2359</v>
      </c>
      <c r="D77" t="s">
        <v>930</v>
      </c>
    </row>
    <row r="78" spans="1:4" x14ac:dyDescent="0.25">
      <c r="A78" t="s">
        <v>3310</v>
      </c>
      <c r="B78" t="s">
        <v>928</v>
      </c>
      <c r="C78" t="s">
        <v>2357</v>
      </c>
      <c r="D78" t="s">
        <v>930</v>
      </c>
    </row>
    <row r="79" spans="1:4" x14ac:dyDescent="0.25">
      <c r="A79" t="s">
        <v>3311</v>
      </c>
      <c r="B79" t="s">
        <v>930</v>
      </c>
      <c r="C79" t="s">
        <v>2359</v>
      </c>
      <c r="D79" t="s">
        <v>932</v>
      </c>
    </row>
    <row r="80" spans="1:4" x14ac:dyDescent="0.25">
      <c r="A80" t="s">
        <v>3312</v>
      </c>
      <c r="B80" t="s">
        <v>928</v>
      </c>
      <c r="C80" t="s">
        <v>2357</v>
      </c>
      <c r="D80" t="s">
        <v>932</v>
      </c>
    </row>
    <row r="81" spans="1:4" x14ac:dyDescent="0.25">
      <c r="A81" t="s">
        <v>3313</v>
      </c>
      <c r="B81" t="s">
        <v>932</v>
      </c>
      <c r="C81" t="s">
        <v>2359</v>
      </c>
      <c r="D81" t="s">
        <v>934</v>
      </c>
    </row>
    <row r="82" spans="1:4" x14ac:dyDescent="0.25">
      <c r="A82" t="s">
        <v>3314</v>
      </c>
      <c r="B82" t="s">
        <v>934</v>
      </c>
      <c r="C82" t="s">
        <v>2359</v>
      </c>
      <c r="D82" t="s">
        <v>937</v>
      </c>
    </row>
    <row r="83" spans="1:4" x14ac:dyDescent="0.25">
      <c r="A83" t="s">
        <v>3315</v>
      </c>
      <c r="B83" t="s">
        <v>937</v>
      </c>
      <c r="C83" t="s">
        <v>2359</v>
      </c>
      <c r="D83" t="s">
        <v>939</v>
      </c>
    </row>
    <row r="84" spans="1:4" x14ac:dyDescent="0.25">
      <c r="A84" t="s">
        <v>3316</v>
      </c>
      <c r="B84" t="s">
        <v>938</v>
      </c>
      <c r="C84" t="s">
        <v>2357</v>
      </c>
      <c r="D84" t="s">
        <v>939</v>
      </c>
    </row>
    <row r="85" spans="1:4" x14ac:dyDescent="0.25">
      <c r="A85" t="s">
        <v>3317</v>
      </c>
      <c r="B85" t="s">
        <v>939</v>
      </c>
      <c r="C85" t="s">
        <v>2359</v>
      </c>
      <c r="D85" t="s">
        <v>942</v>
      </c>
    </row>
    <row r="86" spans="1:4" x14ac:dyDescent="0.25">
      <c r="A86" t="s">
        <v>3318</v>
      </c>
      <c r="B86" t="s">
        <v>938</v>
      </c>
      <c r="C86" t="s">
        <v>2357</v>
      </c>
      <c r="D86" t="s">
        <v>942</v>
      </c>
    </row>
    <row r="87" spans="1:4" x14ac:dyDescent="0.25">
      <c r="A87" t="s">
        <v>3319</v>
      </c>
      <c r="B87" t="s">
        <v>942</v>
      </c>
      <c r="C87" t="s">
        <v>2359</v>
      </c>
      <c r="D87" t="s">
        <v>944</v>
      </c>
    </row>
    <row r="88" spans="1:4" x14ac:dyDescent="0.25">
      <c r="A88" t="s">
        <v>3320</v>
      </c>
      <c r="B88" t="s">
        <v>943</v>
      </c>
      <c r="C88" t="s">
        <v>2357</v>
      </c>
      <c r="D88" t="s">
        <v>944</v>
      </c>
    </row>
    <row r="89" spans="1:4" x14ac:dyDescent="0.25">
      <c r="A89" t="s">
        <v>3321</v>
      </c>
      <c r="B89" t="s">
        <v>944</v>
      </c>
      <c r="C89" t="s">
        <v>2359</v>
      </c>
      <c r="D89" t="s">
        <v>3322</v>
      </c>
    </row>
    <row r="90" spans="1:4" x14ac:dyDescent="0.25">
      <c r="A90" t="s">
        <v>3323</v>
      </c>
      <c r="B90" t="s">
        <v>943</v>
      </c>
      <c r="C90" t="s">
        <v>2357</v>
      </c>
      <c r="D90" t="s">
        <v>3322</v>
      </c>
    </row>
    <row r="91" spans="1:4" x14ac:dyDescent="0.25">
      <c r="A91" t="s">
        <v>3324</v>
      </c>
      <c r="B91" t="s">
        <v>132</v>
      </c>
      <c r="C91" t="s">
        <v>2359</v>
      </c>
      <c r="D91" t="s">
        <v>949</v>
      </c>
    </row>
    <row r="92" spans="1:4" x14ac:dyDescent="0.25">
      <c r="A92" t="s">
        <v>3325</v>
      </c>
      <c r="B92" t="s">
        <v>131</v>
      </c>
      <c r="C92" t="s">
        <v>2399</v>
      </c>
      <c r="D92" t="s">
        <v>949</v>
      </c>
    </row>
    <row r="93" spans="1:4" x14ac:dyDescent="0.25">
      <c r="A93" t="s">
        <v>3326</v>
      </c>
      <c r="B93" t="s">
        <v>947</v>
      </c>
      <c r="C93" t="s">
        <v>2357</v>
      </c>
      <c r="D93" t="s">
        <v>949</v>
      </c>
    </row>
    <row r="94" spans="1:4" x14ac:dyDescent="0.25">
      <c r="A94" t="s">
        <v>3327</v>
      </c>
      <c r="B94" t="s">
        <v>949</v>
      </c>
      <c r="C94" t="s">
        <v>2359</v>
      </c>
      <c r="D94" t="s">
        <v>3328</v>
      </c>
    </row>
    <row r="95" spans="1:4" x14ac:dyDescent="0.25">
      <c r="A95" t="s">
        <v>3329</v>
      </c>
      <c r="B95" t="s">
        <v>131</v>
      </c>
      <c r="C95" t="s">
        <v>2399</v>
      </c>
      <c r="D95" t="s">
        <v>3328</v>
      </c>
    </row>
    <row r="96" spans="1:4" x14ac:dyDescent="0.25">
      <c r="A96" t="s">
        <v>3330</v>
      </c>
      <c r="B96" t="s">
        <v>947</v>
      </c>
      <c r="C96" t="s">
        <v>2357</v>
      </c>
      <c r="D96" t="s">
        <v>3328</v>
      </c>
    </row>
    <row r="97" spans="1:4" x14ac:dyDescent="0.25">
      <c r="A97" t="s">
        <v>3331</v>
      </c>
      <c r="B97" t="s">
        <v>949</v>
      </c>
      <c r="C97" t="s">
        <v>2359</v>
      </c>
      <c r="D97" t="s">
        <v>3332</v>
      </c>
    </row>
    <row r="98" spans="1:4" x14ac:dyDescent="0.25">
      <c r="A98" t="s">
        <v>3333</v>
      </c>
      <c r="B98" t="s">
        <v>131</v>
      </c>
      <c r="C98" t="s">
        <v>2399</v>
      </c>
      <c r="D98" t="s">
        <v>3332</v>
      </c>
    </row>
    <row r="99" spans="1:4" x14ac:dyDescent="0.25">
      <c r="A99" t="s">
        <v>3334</v>
      </c>
      <c r="B99" t="s">
        <v>947</v>
      </c>
      <c r="C99" t="s">
        <v>2357</v>
      </c>
      <c r="D99" t="s">
        <v>3332</v>
      </c>
    </row>
    <row r="100" spans="1:4" x14ac:dyDescent="0.25">
      <c r="A100" t="s">
        <v>3335</v>
      </c>
      <c r="B100" t="s">
        <v>3328</v>
      </c>
      <c r="C100" t="s">
        <v>2366</v>
      </c>
      <c r="D100" t="s">
        <v>957</v>
      </c>
    </row>
    <row r="101" spans="1:4" x14ac:dyDescent="0.25">
      <c r="A101" t="s">
        <v>3336</v>
      </c>
      <c r="B101" t="s">
        <v>3332</v>
      </c>
      <c r="C101" t="s">
        <v>2366</v>
      </c>
      <c r="D101" t="s">
        <v>957</v>
      </c>
    </row>
    <row r="102" spans="1:4" x14ac:dyDescent="0.25">
      <c r="A102" t="s">
        <v>3337</v>
      </c>
      <c r="B102" t="s">
        <v>956</v>
      </c>
      <c r="C102" t="s">
        <v>2357</v>
      </c>
      <c r="D102" t="s">
        <v>957</v>
      </c>
    </row>
    <row r="103" spans="1:4" x14ac:dyDescent="0.25">
      <c r="A103" t="s">
        <v>3338</v>
      </c>
      <c r="B103" t="s">
        <v>957</v>
      </c>
      <c r="C103" t="s">
        <v>2359</v>
      </c>
      <c r="D103" t="s">
        <v>960</v>
      </c>
    </row>
    <row r="104" spans="1:4" x14ac:dyDescent="0.25">
      <c r="A104" t="s">
        <v>3339</v>
      </c>
      <c r="B104" t="s">
        <v>956</v>
      </c>
      <c r="C104" t="s">
        <v>2357</v>
      </c>
      <c r="D104" t="s">
        <v>960</v>
      </c>
    </row>
    <row r="105" spans="1:4" x14ac:dyDescent="0.25">
      <c r="A105" t="s">
        <v>3340</v>
      </c>
      <c r="B105" t="s">
        <v>960</v>
      </c>
      <c r="C105" t="s">
        <v>2359</v>
      </c>
      <c r="D105" t="s">
        <v>963</v>
      </c>
    </row>
    <row r="106" spans="1:4" x14ac:dyDescent="0.25">
      <c r="A106" t="s">
        <v>3341</v>
      </c>
      <c r="B106" t="s">
        <v>961</v>
      </c>
      <c r="C106" t="s">
        <v>2357</v>
      </c>
      <c r="D106" t="s">
        <v>963</v>
      </c>
    </row>
    <row r="107" spans="1:4" x14ac:dyDescent="0.25">
      <c r="A107" t="s">
        <v>3342</v>
      </c>
      <c r="B107" t="s">
        <v>963</v>
      </c>
      <c r="C107" t="s">
        <v>2359</v>
      </c>
      <c r="D107" t="s">
        <v>964</v>
      </c>
    </row>
    <row r="108" spans="1:4" x14ac:dyDescent="0.25">
      <c r="A108" t="s">
        <v>3343</v>
      </c>
      <c r="B108" t="s">
        <v>961</v>
      </c>
      <c r="C108" t="s">
        <v>2357</v>
      </c>
      <c r="D108" t="s">
        <v>964</v>
      </c>
    </row>
    <row r="109" spans="1:4" x14ac:dyDescent="0.25">
      <c r="A109" t="s">
        <v>3344</v>
      </c>
      <c r="B109" t="s">
        <v>964</v>
      </c>
      <c r="C109" t="s">
        <v>2359</v>
      </c>
      <c r="D109" t="s">
        <v>965</v>
      </c>
    </row>
    <row r="110" spans="1:4" x14ac:dyDescent="0.25">
      <c r="A110" t="s">
        <v>3345</v>
      </c>
      <c r="B110" t="s">
        <v>965</v>
      </c>
      <c r="C110" t="s">
        <v>2359</v>
      </c>
      <c r="D110" t="s">
        <v>968</v>
      </c>
    </row>
    <row r="111" spans="1:4" x14ac:dyDescent="0.25">
      <c r="A111" t="s">
        <v>3346</v>
      </c>
      <c r="B111" t="s">
        <v>968</v>
      </c>
      <c r="C111" t="s">
        <v>2359</v>
      </c>
      <c r="D111" t="s">
        <v>971</v>
      </c>
    </row>
    <row r="112" spans="1:4" x14ac:dyDescent="0.25">
      <c r="A112" t="s">
        <v>3347</v>
      </c>
      <c r="B112" t="s">
        <v>969</v>
      </c>
      <c r="C112" t="s">
        <v>2357</v>
      </c>
      <c r="D112" t="s">
        <v>971</v>
      </c>
    </row>
    <row r="113" spans="1:4" x14ac:dyDescent="0.25">
      <c r="A113" t="s">
        <v>3348</v>
      </c>
      <c r="B113" t="s">
        <v>971</v>
      </c>
      <c r="C113" t="s">
        <v>2359</v>
      </c>
      <c r="D113" t="s">
        <v>973</v>
      </c>
    </row>
    <row r="114" spans="1:4" x14ac:dyDescent="0.25">
      <c r="A114" t="s">
        <v>3349</v>
      </c>
      <c r="B114" t="s">
        <v>969</v>
      </c>
      <c r="C114" t="s">
        <v>2357</v>
      </c>
      <c r="D114" t="s">
        <v>973</v>
      </c>
    </row>
    <row r="115" spans="1:4" x14ac:dyDescent="0.25">
      <c r="A115" t="s">
        <v>3350</v>
      </c>
      <c r="B115" t="s">
        <v>973</v>
      </c>
      <c r="C115" t="s">
        <v>2359</v>
      </c>
      <c r="D115" t="s">
        <v>974</v>
      </c>
    </row>
    <row r="116" spans="1:4" x14ac:dyDescent="0.25">
      <c r="A116" t="s">
        <v>3351</v>
      </c>
      <c r="B116" t="s">
        <v>974</v>
      </c>
      <c r="C116" t="s">
        <v>2359</v>
      </c>
      <c r="D116" t="s">
        <v>977</v>
      </c>
    </row>
    <row r="117" spans="1:4" x14ac:dyDescent="0.25">
      <c r="A117" t="s">
        <v>3352</v>
      </c>
      <c r="B117" t="s">
        <v>977</v>
      </c>
      <c r="C117" t="s">
        <v>2359</v>
      </c>
      <c r="D117" t="s">
        <v>980</v>
      </c>
    </row>
    <row r="118" spans="1:4" x14ac:dyDescent="0.25">
      <c r="A118" t="s">
        <v>3353</v>
      </c>
      <c r="B118" t="s">
        <v>978</v>
      </c>
      <c r="C118" t="s">
        <v>2357</v>
      </c>
      <c r="D118" t="s">
        <v>980</v>
      </c>
    </row>
    <row r="119" spans="1:4" x14ac:dyDescent="0.25">
      <c r="A119" t="s">
        <v>3354</v>
      </c>
      <c r="B119" t="s">
        <v>980</v>
      </c>
      <c r="C119" t="s">
        <v>2359</v>
      </c>
      <c r="D119" t="s">
        <v>982</v>
      </c>
    </row>
    <row r="120" spans="1:4" x14ac:dyDescent="0.25">
      <c r="A120" t="s">
        <v>3355</v>
      </c>
      <c r="B120" t="s">
        <v>978</v>
      </c>
      <c r="C120" t="s">
        <v>2357</v>
      </c>
      <c r="D120" t="s">
        <v>982</v>
      </c>
    </row>
    <row r="121" spans="1:4" x14ac:dyDescent="0.25">
      <c r="A121" t="s">
        <v>3356</v>
      </c>
      <c r="B121" t="s">
        <v>982</v>
      </c>
      <c r="C121" t="s">
        <v>2359</v>
      </c>
      <c r="D121" t="s">
        <v>983</v>
      </c>
    </row>
    <row r="122" spans="1:4" x14ac:dyDescent="0.25">
      <c r="A122" t="s">
        <v>3357</v>
      </c>
      <c r="B122" t="s">
        <v>983</v>
      </c>
      <c r="C122" t="s">
        <v>2359</v>
      </c>
      <c r="D122" t="s">
        <v>986</v>
      </c>
    </row>
    <row r="123" spans="1:4" x14ac:dyDescent="0.25">
      <c r="A123" t="s">
        <v>3358</v>
      </c>
      <c r="B123" t="s">
        <v>986</v>
      </c>
      <c r="C123" t="s">
        <v>2359</v>
      </c>
      <c r="D123" t="s">
        <v>988</v>
      </c>
    </row>
    <row r="124" spans="1:4" x14ac:dyDescent="0.25">
      <c r="A124" t="s">
        <v>3359</v>
      </c>
      <c r="B124" t="s">
        <v>987</v>
      </c>
      <c r="C124" t="s">
        <v>2357</v>
      </c>
      <c r="D124" t="s">
        <v>988</v>
      </c>
    </row>
    <row r="125" spans="1:4" x14ac:dyDescent="0.25">
      <c r="A125" t="s">
        <v>3360</v>
      </c>
      <c r="B125" t="s">
        <v>988</v>
      </c>
      <c r="C125" t="s">
        <v>2359</v>
      </c>
      <c r="D125" t="s">
        <v>991</v>
      </c>
    </row>
    <row r="126" spans="1:4" x14ac:dyDescent="0.25">
      <c r="A126" t="s">
        <v>3361</v>
      </c>
      <c r="B126" t="s">
        <v>987</v>
      </c>
      <c r="C126" t="s">
        <v>2357</v>
      </c>
      <c r="D126" t="s">
        <v>991</v>
      </c>
    </row>
    <row r="127" spans="1:4" x14ac:dyDescent="0.25">
      <c r="A127" t="s">
        <v>3362</v>
      </c>
      <c r="B127" t="s">
        <v>991</v>
      </c>
      <c r="C127" t="s">
        <v>2359</v>
      </c>
      <c r="D127" t="s">
        <v>993</v>
      </c>
    </row>
    <row r="128" spans="1:4" x14ac:dyDescent="0.25">
      <c r="A128" t="s">
        <v>3363</v>
      </c>
      <c r="B128" t="s">
        <v>992</v>
      </c>
      <c r="C128" t="s">
        <v>2357</v>
      </c>
      <c r="D128" t="s">
        <v>993</v>
      </c>
    </row>
    <row r="129" spans="1:4" x14ac:dyDescent="0.25">
      <c r="A129" t="s">
        <v>3364</v>
      </c>
      <c r="B129" t="s">
        <v>993</v>
      </c>
      <c r="C129" t="s">
        <v>2359</v>
      </c>
      <c r="D129" t="s">
        <v>996</v>
      </c>
    </row>
    <row r="130" spans="1:4" x14ac:dyDescent="0.25">
      <c r="A130" t="s">
        <v>3365</v>
      </c>
      <c r="B130" t="s">
        <v>992</v>
      </c>
      <c r="C130" t="s">
        <v>2357</v>
      </c>
      <c r="D130" t="s">
        <v>996</v>
      </c>
    </row>
    <row r="131" spans="1:4" x14ac:dyDescent="0.25">
      <c r="A131" t="s">
        <v>3366</v>
      </c>
      <c r="B131" t="s">
        <v>996</v>
      </c>
      <c r="C131" t="s">
        <v>2359</v>
      </c>
      <c r="D131" t="s">
        <v>3367</v>
      </c>
    </row>
    <row r="132" spans="1:4" x14ac:dyDescent="0.25">
      <c r="A132" t="s">
        <v>3368</v>
      </c>
      <c r="B132" t="s">
        <v>997</v>
      </c>
      <c r="C132" t="s">
        <v>2357</v>
      </c>
      <c r="D132" t="s">
        <v>3367</v>
      </c>
    </row>
    <row r="133" spans="1:4" x14ac:dyDescent="0.25">
      <c r="A133" t="s">
        <v>3369</v>
      </c>
      <c r="B133" t="s">
        <v>485</v>
      </c>
      <c r="C133" t="s">
        <v>2359</v>
      </c>
      <c r="D133" t="s">
        <v>3370</v>
      </c>
    </row>
    <row r="134" spans="1:4" x14ac:dyDescent="0.25">
      <c r="A134" t="s">
        <v>3371</v>
      </c>
      <c r="B134" t="s">
        <v>997</v>
      </c>
      <c r="C134" t="s">
        <v>2357</v>
      </c>
      <c r="D134" t="s">
        <v>3370</v>
      </c>
    </row>
    <row r="135" spans="1:4" x14ac:dyDescent="0.25">
      <c r="A135" t="s">
        <v>3372</v>
      </c>
      <c r="B135" t="s">
        <v>127</v>
      </c>
      <c r="C135" t="s">
        <v>2359</v>
      </c>
      <c r="D135" t="s">
        <v>1004</v>
      </c>
    </row>
    <row r="136" spans="1:4" x14ac:dyDescent="0.25">
      <c r="A136" t="s">
        <v>3373</v>
      </c>
      <c r="B136" t="s">
        <v>1002</v>
      </c>
      <c r="C136" t="s">
        <v>2357</v>
      </c>
      <c r="D136" t="s">
        <v>1004</v>
      </c>
    </row>
    <row r="137" spans="1:4" x14ac:dyDescent="0.25">
      <c r="A137" t="s">
        <v>3374</v>
      </c>
      <c r="B137" t="s">
        <v>1004</v>
      </c>
      <c r="C137" t="s">
        <v>2359</v>
      </c>
      <c r="D137" t="s">
        <v>1006</v>
      </c>
    </row>
    <row r="138" spans="1:4" x14ac:dyDescent="0.25">
      <c r="A138" t="s">
        <v>3375</v>
      </c>
      <c r="B138" t="s">
        <v>1002</v>
      </c>
      <c r="C138" t="s">
        <v>2357</v>
      </c>
      <c r="D138" t="s">
        <v>1006</v>
      </c>
    </row>
    <row r="139" spans="1:4" x14ac:dyDescent="0.25">
      <c r="A139" t="s">
        <v>3376</v>
      </c>
      <c r="B139" t="s">
        <v>1006</v>
      </c>
      <c r="C139" t="s">
        <v>2359</v>
      </c>
      <c r="D139" t="s">
        <v>1008</v>
      </c>
    </row>
    <row r="140" spans="1:4" x14ac:dyDescent="0.25">
      <c r="A140" t="s">
        <v>3377</v>
      </c>
      <c r="B140" t="s">
        <v>1008</v>
      </c>
      <c r="C140" t="s">
        <v>2359</v>
      </c>
      <c r="D140" t="s">
        <v>1009</v>
      </c>
    </row>
    <row r="141" spans="1:4" x14ac:dyDescent="0.25">
      <c r="A141" t="s">
        <v>3378</v>
      </c>
      <c r="B141" t="s">
        <v>1009</v>
      </c>
      <c r="C141" t="s">
        <v>2359</v>
      </c>
      <c r="D141" t="s">
        <v>3379</v>
      </c>
    </row>
    <row r="142" spans="1:4" x14ac:dyDescent="0.25">
      <c r="A142" t="s">
        <v>3380</v>
      </c>
      <c r="B142" t="s">
        <v>127</v>
      </c>
      <c r="C142" t="s">
        <v>2359</v>
      </c>
      <c r="D142" t="s">
        <v>1014</v>
      </c>
    </row>
    <row r="143" spans="1:4" x14ac:dyDescent="0.25">
      <c r="A143" t="s">
        <v>3381</v>
      </c>
      <c r="B143" t="s">
        <v>1012</v>
      </c>
      <c r="C143" t="s">
        <v>2357</v>
      </c>
      <c r="D143" t="s">
        <v>1014</v>
      </c>
    </row>
    <row r="144" spans="1:4" x14ac:dyDescent="0.25">
      <c r="A144" t="s">
        <v>3382</v>
      </c>
      <c r="B144" t="s">
        <v>1014</v>
      </c>
      <c r="C144" t="s">
        <v>2359</v>
      </c>
      <c r="D144" t="s">
        <v>3383</v>
      </c>
    </row>
    <row r="145" spans="1:4" x14ac:dyDescent="0.25">
      <c r="A145" t="s">
        <v>3384</v>
      </c>
      <c r="B145" t="s">
        <v>1012</v>
      </c>
      <c r="C145" t="s">
        <v>2357</v>
      </c>
      <c r="D145" t="s">
        <v>3383</v>
      </c>
    </row>
    <row r="146" spans="1:4" x14ac:dyDescent="0.25">
      <c r="A146" t="s">
        <v>3385</v>
      </c>
      <c r="B146" t="s">
        <v>127</v>
      </c>
      <c r="C146" t="s">
        <v>2359</v>
      </c>
      <c r="D146" t="s">
        <v>1019</v>
      </c>
    </row>
    <row r="147" spans="1:4" x14ac:dyDescent="0.25">
      <c r="A147" t="s">
        <v>3386</v>
      </c>
      <c r="B147" t="s">
        <v>1017</v>
      </c>
      <c r="C147" t="s">
        <v>2357</v>
      </c>
      <c r="D147" t="s">
        <v>1019</v>
      </c>
    </row>
    <row r="148" spans="1:4" x14ac:dyDescent="0.25">
      <c r="A148" t="s">
        <v>3387</v>
      </c>
      <c r="B148" t="s">
        <v>1019</v>
      </c>
      <c r="C148" t="s">
        <v>2359</v>
      </c>
      <c r="D148" t="s">
        <v>1021</v>
      </c>
    </row>
    <row r="149" spans="1:4" x14ac:dyDescent="0.25">
      <c r="A149" t="s">
        <v>3388</v>
      </c>
      <c r="B149" t="s">
        <v>1017</v>
      </c>
      <c r="C149" t="s">
        <v>2357</v>
      </c>
      <c r="D149" t="s">
        <v>1021</v>
      </c>
    </row>
    <row r="150" spans="1:4" x14ac:dyDescent="0.25">
      <c r="A150" t="s">
        <v>3389</v>
      </c>
      <c r="B150" t="s">
        <v>1021</v>
      </c>
      <c r="C150" t="s">
        <v>2359</v>
      </c>
      <c r="D150" t="s">
        <v>1023</v>
      </c>
    </row>
    <row r="151" spans="1:4" x14ac:dyDescent="0.25">
      <c r="A151" t="s">
        <v>3390</v>
      </c>
      <c r="B151" t="s">
        <v>1023</v>
      </c>
      <c r="C151" t="s">
        <v>2359</v>
      </c>
      <c r="D151" t="s">
        <v>3391</v>
      </c>
    </row>
    <row r="152" spans="1:4" x14ac:dyDescent="0.25">
      <c r="A152" t="s">
        <v>3392</v>
      </c>
      <c r="B152" t="s">
        <v>127</v>
      </c>
      <c r="C152" t="s">
        <v>2359</v>
      </c>
      <c r="D152" t="s">
        <v>1028</v>
      </c>
    </row>
    <row r="153" spans="1:4" x14ac:dyDescent="0.25">
      <c r="A153" t="s">
        <v>3393</v>
      </c>
      <c r="B153" t="s">
        <v>1026</v>
      </c>
      <c r="C153" t="s">
        <v>2357</v>
      </c>
      <c r="D153" t="s">
        <v>1028</v>
      </c>
    </row>
    <row r="154" spans="1:4" x14ac:dyDescent="0.25">
      <c r="A154" t="s">
        <v>3394</v>
      </c>
      <c r="B154" t="s">
        <v>1028</v>
      </c>
      <c r="C154" t="s">
        <v>2359</v>
      </c>
      <c r="D154" t="s">
        <v>1030</v>
      </c>
    </row>
    <row r="155" spans="1:4" x14ac:dyDescent="0.25">
      <c r="A155" t="s">
        <v>3395</v>
      </c>
      <c r="B155" t="s">
        <v>1026</v>
      </c>
      <c r="C155" t="s">
        <v>2357</v>
      </c>
      <c r="D155" t="s">
        <v>1030</v>
      </c>
    </row>
    <row r="156" spans="1:4" x14ac:dyDescent="0.25">
      <c r="A156" t="s">
        <v>3396</v>
      </c>
      <c r="B156" t="s">
        <v>1030</v>
      </c>
      <c r="C156" t="s">
        <v>2359</v>
      </c>
      <c r="D156" t="s">
        <v>1032</v>
      </c>
    </row>
    <row r="157" spans="1:4" x14ac:dyDescent="0.25">
      <c r="A157" t="s">
        <v>3397</v>
      </c>
      <c r="B157" t="s">
        <v>1032</v>
      </c>
      <c r="C157" t="s">
        <v>2359</v>
      </c>
      <c r="D157" t="s">
        <v>1034</v>
      </c>
    </row>
    <row r="158" spans="1:4" x14ac:dyDescent="0.25">
      <c r="A158" t="s">
        <v>3398</v>
      </c>
      <c r="B158" t="s">
        <v>1034</v>
      </c>
      <c r="C158" t="s">
        <v>2359</v>
      </c>
      <c r="D158" t="s">
        <v>3399</v>
      </c>
    </row>
    <row r="159" spans="1:4" x14ac:dyDescent="0.25">
      <c r="A159" t="s">
        <v>3400</v>
      </c>
      <c r="B159" t="s">
        <v>127</v>
      </c>
      <c r="C159" t="s">
        <v>2359</v>
      </c>
      <c r="D159" t="s">
        <v>1039</v>
      </c>
    </row>
    <row r="160" spans="1:4" x14ac:dyDescent="0.25">
      <c r="A160" t="s">
        <v>3401</v>
      </c>
      <c r="B160" t="s">
        <v>1037</v>
      </c>
      <c r="C160" t="s">
        <v>2357</v>
      </c>
      <c r="D160" t="s">
        <v>1039</v>
      </c>
    </row>
    <row r="161" spans="1:4" x14ac:dyDescent="0.25">
      <c r="A161" t="s">
        <v>3402</v>
      </c>
      <c r="B161" t="s">
        <v>1039</v>
      </c>
      <c r="C161" t="s">
        <v>2359</v>
      </c>
      <c r="D161" t="s">
        <v>1041</v>
      </c>
    </row>
    <row r="162" spans="1:4" x14ac:dyDescent="0.25">
      <c r="A162" t="s">
        <v>3403</v>
      </c>
      <c r="B162" t="s">
        <v>1037</v>
      </c>
      <c r="C162" t="s">
        <v>2357</v>
      </c>
      <c r="D162" t="s">
        <v>1041</v>
      </c>
    </row>
    <row r="163" spans="1:4" x14ac:dyDescent="0.25">
      <c r="A163" t="s">
        <v>3404</v>
      </c>
      <c r="B163" t="s">
        <v>1041</v>
      </c>
      <c r="C163" t="s">
        <v>2359</v>
      </c>
      <c r="D163" t="s">
        <v>3405</v>
      </c>
    </row>
    <row r="164" spans="1:4" x14ac:dyDescent="0.25">
      <c r="A164" t="s">
        <v>3406</v>
      </c>
      <c r="B164" t="s">
        <v>127</v>
      </c>
      <c r="C164" t="s">
        <v>2359</v>
      </c>
      <c r="D164" t="s">
        <v>1047</v>
      </c>
    </row>
    <row r="165" spans="1:4" x14ac:dyDescent="0.25">
      <c r="A165" t="s">
        <v>3407</v>
      </c>
      <c r="B165" t="s">
        <v>1044</v>
      </c>
      <c r="C165" t="s">
        <v>2357</v>
      </c>
      <c r="D165" t="s">
        <v>1047</v>
      </c>
    </row>
    <row r="166" spans="1:4" x14ac:dyDescent="0.25">
      <c r="A166" t="s">
        <v>3408</v>
      </c>
      <c r="B166" t="s">
        <v>1047</v>
      </c>
      <c r="C166" t="s">
        <v>2359</v>
      </c>
      <c r="D166" t="s">
        <v>3409</v>
      </c>
    </row>
    <row r="167" spans="1:4" x14ac:dyDescent="0.25">
      <c r="A167" t="s">
        <v>3410</v>
      </c>
      <c r="B167" t="s">
        <v>1044</v>
      </c>
      <c r="C167" t="s">
        <v>2357</v>
      </c>
      <c r="D167" t="s">
        <v>3409</v>
      </c>
    </row>
    <row r="168" spans="1:4" x14ac:dyDescent="0.25">
      <c r="A168" t="s">
        <v>3411</v>
      </c>
      <c r="B168" t="s">
        <v>127</v>
      </c>
      <c r="C168" t="s">
        <v>2359</v>
      </c>
      <c r="D168" t="s">
        <v>1052</v>
      </c>
    </row>
    <row r="169" spans="1:4" x14ac:dyDescent="0.25">
      <c r="A169" t="s">
        <v>3412</v>
      </c>
      <c r="B169" t="s">
        <v>1050</v>
      </c>
      <c r="C169" t="s">
        <v>2357</v>
      </c>
      <c r="D169" t="s">
        <v>1052</v>
      </c>
    </row>
    <row r="170" spans="1:4" x14ac:dyDescent="0.25">
      <c r="A170" t="s">
        <v>3413</v>
      </c>
      <c r="B170" t="s">
        <v>1052</v>
      </c>
      <c r="C170" t="s">
        <v>2359</v>
      </c>
      <c r="D170" t="s">
        <v>3414</v>
      </c>
    </row>
    <row r="171" spans="1:4" x14ac:dyDescent="0.25">
      <c r="A171" t="s">
        <v>3415</v>
      </c>
      <c r="B171" t="s">
        <v>1050</v>
      </c>
      <c r="C171" t="s">
        <v>2357</v>
      </c>
      <c r="D171" t="s">
        <v>3414</v>
      </c>
    </row>
    <row r="172" spans="1:4" x14ac:dyDescent="0.25">
      <c r="A172" t="s">
        <v>3416</v>
      </c>
      <c r="B172" t="s">
        <v>1052</v>
      </c>
      <c r="C172" t="s">
        <v>2359</v>
      </c>
      <c r="D172" t="s">
        <v>3417</v>
      </c>
    </row>
    <row r="173" spans="1:4" x14ac:dyDescent="0.25">
      <c r="A173" t="s">
        <v>3418</v>
      </c>
      <c r="B173" t="s">
        <v>1050</v>
      </c>
      <c r="C173" t="s">
        <v>2357</v>
      </c>
      <c r="D173" t="s">
        <v>3417</v>
      </c>
    </row>
    <row r="174" spans="1:4" x14ac:dyDescent="0.25">
      <c r="A174" t="s">
        <v>3419</v>
      </c>
      <c r="B174" t="s">
        <v>127</v>
      </c>
      <c r="C174" t="s">
        <v>2359</v>
      </c>
      <c r="D174" t="s">
        <v>1060</v>
      </c>
    </row>
    <row r="175" spans="1:4" x14ac:dyDescent="0.25">
      <c r="A175" t="s">
        <v>3420</v>
      </c>
      <c r="B175" t="s">
        <v>1057</v>
      </c>
      <c r="C175" t="s">
        <v>2357</v>
      </c>
      <c r="D175" t="s">
        <v>1060</v>
      </c>
    </row>
    <row r="176" spans="1:4" x14ac:dyDescent="0.25">
      <c r="A176" t="s">
        <v>3421</v>
      </c>
      <c r="B176" t="s">
        <v>1060</v>
      </c>
      <c r="C176" t="s">
        <v>2359</v>
      </c>
      <c r="D176" t="s">
        <v>3422</v>
      </c>
    </row>
    <row r="177" spans="1:4" x14ac:dyDescent="0.25">
      <c r="A177" t="s">
        <v>3423</v>
      </c>
      <c r="B177" t="s">
        <v>1057</v>
      </c>
      <c r="C177" t="s">
        <v>2357</v>
      </c>
      <c r="D177" t="s">
        <v>3422</v>
      </c>
    </row>
    <row r="178" spans="1:4" x14ac:dyDescent="0.25">
      <c r="A178" t="s">
        <v>3424</v>
      </c>
      <c r="B178" t="s">
        <v>127</v>
      </c>
      <c r="C178" t="s">
        <v>2359</v>
      </c>
      <c r="D178" t="s">
        <v>1064</v>
      </c>
    </row>
    <row r="179" spans="1:4" x14ac:dyDescent="0.25">
      <c r="A179" t="s">
        <v>3425</v>
      </c>
      <c r="B179" t="s">
        <v>1063</v>
      </c>
      <c r="C179" t="s">
        <v>2357</v>
      </c>
      <c r="D179" t="s">
        <v>1064</v>
      </c>
    </row>
    <row r="180" spans="1:4" x14ac:dyDescent="0.25">
      <c r="A180" t="s">
        <v>3426</v>
      </c>
      <c r="B180" t="s">
        <v>1064</v>
      </c>
      <c r="C180" t="s">
        <v>2359</v>
      </c>
      <c r="D180" t="s">
        <v>3427</v>
      </c>
    </row>
    <row r="181" spans="1:4" x14ac:dyDescent="0.25">
      <c r="A181" t="s">
        <v>3428</v>
      </c>
      <c r="B181" t="s">
        <v>1063</v>
      </c>
      <c r="C181" t="s">
        <v>2357</v>
      </c>
      <c r="D181" t="s">
        <v>3427</v>
      </c>
    </row>
    <row r="182" spans="1:4" x14ac:dyDescent="0.25">
      <c r="A182" t="s">
        <v>3429</v>
      </c>
      <c r="B182" t="s">
        <v>127</v>
      </c>
      <c r="C182" t="s">
        <v>2359</v>
      </c>
      <c r="D182" t="s">
        <v>1068</v>
      </c>
    </row>
    <row r="183" spans="1:4" x14ac:dyDescent="0.25">
      <c r="A183" t="s">
        <v>3430</v>
      </c>
      <c r="B183" t="s">
        <v>1067</v>
      </c>
      <c r="C183" t="s">
        <v>2357</v>
      </c>
      <c r="D183" t="s">
        <v>1068</v>
      </c>
    </row>
    <row r="184" spans="1:4" x14ac:dyDescent="0.25">
      <c r="A184" t="s">
        <v>3431</v>
      </c>
      <c r="B184" t="s">
        <v>1068</v>
      </c>
      <c r="C184" t="s">
        <v>2359</v>
      </c>
      <c r="D184" t="s">
        <v>1146</v>
      </c>
    </row>
    <row r="185" spans="1:4" x14ac:dyDescent="0.25">
      <c r="A185" t="s">
        <v>3432</v>
      </c>
      <c r="B185" t="s">
        <v>1067</v>
      </c>
      <c r="C185" t="s">
        <v>2357</v>
      </c>
      <c r="D185" t="s">
        <v>1146</v>
      </c>
    </row>
    <row r="186" spans="1:4" x14ac:dyDescent="0.25">
      <c r="A186" t="s">
        <v>3433</v>
      </c>
      <c r="B186" t="s">
        <v>127</v>
      </c>
      <c r="C186" t="s">
        <v>2359</v>
      </c>
      <c r="D186" t="s">
        <v>1072</v>
      </c>
    </row>
    <row r="187" spans="1:4" x14ac:dyDescent="0.25">
      <c r="A187" t="s">
        <v>3434</v>
      </c>
      <c r="B187" t="s">
        <v>1071</v>
      </c>
      <c r="C187" t="s">
        <v>2357</v>
      </c>
      <c r="D187" t="s">
        <v>1072</v>
      </c>
    </row>
    <row r="188" spans="1:4" x14ac:dyDescent="0.25">
      <c r="A188" t="s">
        <v>3435</v>
      </c>
      <c r="B188" t="s">
        <v>1072</v>
      </c>
      <c r="C188" t="s">
        <v>2359</v>
      </c>
      <c r="D188" t="s">
        <v>3436</v>
      </c>
    </row>
    <row r="189" spans="1:4" x14ac:dyDescent="0.25">
      <c r="A189" t="s">
        <v>3437</v>
      </c>
      <c r="B189" t="s">
        <v>1071</v>
      </c>
      <c r="C189" t="s">
        <v>2357</v>
      </c>
      <c r="D189" t="s">
        <v>3436</v>
      </c>
    </row>
    <row r="190" spans="1:4" x14ac:dyDescent="0.25">
      <c r="A190" t="s">
        <v>3438</v>
      </c>
      <c r="B190" t="s">
        <v>127</v>
      </c>
      <c r="C190" t="s">
        <v>2359</v>
      </c>
      <c r="D190" t="s">
        <v>1077</v>
      </c>
    </row>
    <row r="191" spans="1:4" x14ac:dyDescent="0.25">
      <c r="A191" t="s">
        <v>3439</v>
      </c>
      <c r="B191" t="s">
        <v>1075</v>
      </c>
      <c r="C191" t="s">
        <v>2357</v>
      </c>
      <c r="D191" t="s">
        <v>1077</v>
      </c>
    </row>
    <row r="192" spans="1:4" x14ac:dyDescent="0.25">
      <c r="A192" t="s">
        <v>3440</v>
      </c>
      <c r="B192" t="s">
        <v>1077</v>
      </c>
      <c r="C192" t="s">
        <v>2359</v>
      </c>
      <c r="D192" t="s">
        <v>3441</v>
      </c>
    </row>
    <row r="193" spans="1:4" x14ac:dyDescent="0.25">
      <c r="A193" t="s">
        <v>3442</v>
      </c>
      <c r="B193" t="s">
        <v>1075</v>
      </c>
      <c r="C193" t="s">
        <v>2357</v>
      </c>
      <c r="D193" t="s">
        <v>3441</v>
      </c>
    </row>
    <row r="194" spans="1:4" x14ac:dyDescent="0.25">
      <c r="A194" t="s">
        <v>3443</v>
      </c>
      <c r="B194" t="s">
        <v>1077</v>
      </c>
      <c r="C194" t="s">
        <v>2359</v>
      </c>
      <c r="D194" t="s">
        <v>3444</v>
      </c>
    </row>
    <row r="195" spans="1:4" x14ac:dyDescent="0.25">
      <c r="A195" t="s">
        <v>3445</v>
      </c>
      <c r="B195" t="s">
        <v>1075</v>
      </c>
      <c r="C195" t="s">
        <v>2357</v>
      </c>
      <c r="D195" t="s">
        <v>3444</v>
      </c>
    </row>
    <row r="196" spans="1:4" x14ac:dyDescent="0.25">
      <c r="A196" t="s">
        <v>3446</v>
      </c>
      <c r="B196" t="s">
        <v>127</v>
      </c>
      <c r="C196" t="s">
        <v>2359</v>
      </c>
      <c r="D196" t="s">
        <v>1085</v>
      </c>
    </row>
    <row r="197" spans="1:4" x14ac:dyDescent="0.25">
      <c r="A197" t="s">
        <v>3447</v>
      </c>
      <c r="B197" t="s">
        <v>1083</v>
      </c>
      <c r="C197" t="s">
        <v>2357</v>
      </c>
      <c r="D197" t="s">
        <v>1085</v>
      </c>
    </row>
    <row r="198" spans="1:4" x14ac:dyDescent="0.25">
      <c r="A198" t="s">
        <v>3448</v>
      </c>
      <c r="B198" t="s">
        <v>1085</v>
      </c>
      <c r="C198" t="s">
        <v>2359</v>
      </c>
      <c r="D198" t="s">
        <v>1087</v>
      </c>
    </row>
    <row r="199" spans="1:4" x14ac:dyDescent="0.25">
      <c r="A199" t="s">
        <v>3449</v>
      </c>
      <c r="B199" t="s">
        <v>1083</v>
      </c>
      <c r="C199" t="s">
        <v>2357</v>
      </c>
      <c r="D199" t="s">
        <v>1087</v>
      </c>
    </row>
    <row r="200" spans="1:4" x14ac:dyDescent="0.25">
      <c r="A200" t="s">
        <v>3450</v>
      </c>
      <c r="B200" t="s">
        <v>1087</v>
      </c>
      <c r="C200" t="s">
        <v>2359</v>
      </c>
      <c r="D200" t="s">
        <v>3451</v>
      </c>
    </row>
    <row r="201" spans="1:4" x14ac:dyDescent="0.25">
      <c r="A201" t="s">
        <v>3452</v>
      </c>
      <c r="B201" t="s">
        <v>127</v>
      </c>
      <c r="C201" t="s">
        <v>2359</v>
      </c>
      <c r="D201" t="s">
        <v>1092</v>
      </c>
    </row>
    <row r="202" spans="1:4" x14ac:dyDescent="0.25">
      <c r="A202" t="s">
        <v>3453</v>
      </c>
      <c r="B202" t="s">
        <v>1090</v>
      </c>
      <c r="C202" t="s">
        <v>2357</v>
      </c>
      <c r="D202" t="s">
        <v>1092</v>
      </c>
    </row>
    <row r="203" spans="1:4" x14ac:dyDescent="0.25">
      <c r="A203" t="s">
        <v>3454</v>
      </c>
      <c r="B203" t="s">
        <v>1092</v>
      </c>
      <c r="C203" t="s">
        <v>2359</v>
      </c>
      <c r="D203" t="s">
        <v>3455</v>
      </c>
    </row>
    <row r="204" spans="1:4" x14ac:dyDescent="0.25">
      <c r="A204" t="s">
        <v>3456</v>
      </c>
      <c r="B204" t="s">
        <v>1090</v>
      </c>
      <c r="C204" t="s">
        <v>2357</v>
      </c>
      <c r="D204" t="s">
        <v>3455</v>
      </c>
    </row>
    <row r="205" spans="1:4" x14ac:dyDescent="0.25">
      <c r="A205" t="s">
        <v>3457</v>
      </c>
      <c r="B205" t="s">
        <v>1092</v>
      </c>
      <c r="C205" t="s">
        <v>2359</v>
      </c>
      <c r="D205" t="s">
        <v>3458</v>
      </c>
    </row>
    <row r="206" spans="1:4" x14ac:dyDescent="0.25">
      <c r="A206" t="s">
        <v>3459</v>
      </c>
      <c r="B206" t="s">
        <v>1090</v>
      </c>
      <c r="C206" t="s">
        <v>2357</v>
      </c>
      <c r="D206" t="s">
        <v>3458</v>
      </c>
    </row>
    <row r="207" spans="1:4" x14ac:dyDescent="0.25">
      <c r="A207" t="s">
        <v>3460</v>
      </c>
      <c r="B207" t="s">
        <v>3455</v>
      </c>
      <c r="C207" t="s">
        <v>2366</v>
      </c>
      <c r="D207" t="s">
        <v>1329</v>
      </c>
    </row>
    <row r="208" spans="1:4" x14ac:dyDescent="0.25">
      <c r="A208" t="s">
        <v>3461</v>
      </c>
      <c r="B208" t="s">
        <v>3458</v>
      </c>
      <c r="C208" t="s">
        <v>2366</v>
      </c>
      <c r="D208" t="s">
        <v>1329</v>
      </c>
    </row>
    <row r="209" spans="1:4" x14ac:dyDescent="0.25">
      <c r="A209" t="s">
        <v>3462</v>
      </c>
      <c r="B209" t="s">
        <v>127</v>
      </c>
      <c r="C209" t="s">
        <v>2359</v>
      </c>
      <c r="D209" t="s">
        <v>1099</v>
      </c>
    </row>
    <row r="210" spans="1:4" x14ac:dyDescent="0.25">
      <c r="A210" t="s">
        <v>3463</v>
      </c>
      <c r="B210" t="s">
        <v>1098</v>
      </c>
      <c r="C210" t="s">
        <v>2357</v>
      </c>
      <c r="D210" t="s">
        <v>1099</v>
      </c>
    </row>
    <row r="211" spans="1:4" x14ac:dyDescent="0.25">
      <c r="A211" t="s">
        <v>3464</v>
      </c>
      <c r="B211" t="s">
        <v>1099</v>
      </c>
      <c r="C211" t="s">
        <v>2359</v>
      </c>
      <c r="D211" t="s">
        <v>3465</v>
      </c>
    </row>
    <row r="212" spans="1:4" x14ac:dyDescent="0.25">
      <c r="A212" t="s">
        <v>3466</v>
      </c>
      <c r="B212" t="s">
        <v>1098</v>
      </c>
      <c r="C212" t="s">
        <v>2357</v>
      </c>
      <c r="D212" t="s">
        <v>3465</v>
      </c>
    </row>
    <row r="213" spans="1:4" x14ac:dyDescent="0.25">
      <c r="A213" t="s">
        <v>3467</v>
      </c>
      <c r="B213" t="s">
        <v>127</v>
      </c>
      <c r="C213" t="s">
        <v>2359</v>
      </c>
      <c r="D213" t="s">
        <v>1103</v>
      </c>
    </row>
    <row r="214" spans="1:4" x14ac:dyDescent="0.25">
      <c r="A214" t="s">
        <v>3468</v>
      </c>
      <c r="B214" t="s">
        <v>1102</v>
      </c>
      <c r="C214" t="s">
        <v>2357</v>
      </c>
      <c r="D214" t="s">
        <v>1103</v>
      </c>
    </row>
    <row r="215" spans="1:4" x14ac:dyDescent="0.25">
      <c r="A215" t="s">
        <v>3469</v>
      </c>
      <c r="B215" t="s">
        <v>1103</v>
      </c>
      <c r="C215" t="s">
        <v>2359</v>
      </c>
      <c r="D215" t="s">
        <v>3470</v>
      </c>
    </row>
    <row r="216" spans="1:4" x14ac:dyDescent="0.25">
      <c r="A216" t="s">
        <v>3471</v>
      </c>
      <c r="B216" t="s">
        <v>1102</v>
      </c>
      <c r="C216" t="s">
        <v>2357</v>
      </c>
      <c r="D216" t="s">
        <v>3470</v>
      </c>
    </row>
    <row r="217" spans="1:4" x14ac:dyDescent="0.25">
      <c r="A217" t="s">
        <v>3472</v>
      </c>
      <c r="B217" t="s">
        <v>127</v>
      </c>
      <c r="C217" t="s">
        <v>2359</v>
      </c>
      <c r="D217" t="s">
        <v>1108</v>
      </c>
    </row>
    <row r="218" spans="1:4" x14ac:dyDescent="0.25">
      <c r="A218" t="s">
        <v>3473</v>
      </c>
      <c r="B218" t="s">
        <v>1106</v>
      </c>
      <c r="C218" t="s">
        <v>2357</v>
      </c>
      <c r="D218" t="s">
        <v>1108</v>
      </c>
    </row>
    <row r="219" spans="1:4" x14ac:dyDescent="0.25">
      <c r="A219" t="s">
        <v>3474</v>
      </c>
      <c r="B219" t="s">
        <v>1108</v>
      </c>
      <c r="C219" t="s">
        <v>2359</v>
      </c>
      <c r="D219" t="s">
        <v>3475</v>
      </c>
    </row>
    <row r="220" spans="1:4" x14ac:dyDescent="0.25">
      <c r="A220" t="s">
        <v>3476</v>
      </c>
      <c r="B220" t="s">
        <v>1106</v>
      </c>
      <c r="C220" t="s">
        <v>2357</v>
      </c>
      <c r="D220" t="s">
        <v>3475</v>
      </c>
    </row>
    <row r="221" spans="1:4" x14ac:dyDescent="0.25">
      <c r="A221" t="s">
        <v>3477</v>
      </c>
      <c r="B221" t="s">
        <v>1108</v>
      </c>
      <c r="C221" t="s">
        <v>2359</v>
      </c>
      <c r="D221" t="s">
        <v>3478</v>
      </c>
    </row>
    <row r="222" spans="1:4" x14ac:dyDescent="0.25">
      <c r="A222" t="s">
        <v>3479</v>
      </c>
      <c r="B222" t="s">
        <v>1106</v>
      </c>
      <c r="C222" t="s">
        <v>2357</v>
      </c>
      <c r="D222" t="s">
        <v>3478</v>
      </c>
    </row>
    <row r="223" spans="1:4" x14ac:dyDescent="0.25">
      <c r="A223" t="s">
        <v>3480</v>
      </c>
      <c r="B223" t="s">
        <v>127</v>
      </c>
      <c r="C223" t="s">
        <v>2359</v>
      </c>
      <c r="D223" t="s">
        <v>1117</v>
      </c>
    </row>
    <row r="224" spans="1:4" x14ac:dyDescent="0.25">
      <c r="A224" t="s">
        <v>3481</v>
      </c>
      <c r="B224" t="s">
        <v>1115</v>
      </c>
      <c r="C224" t="s">
        <v>2399</v>
      </c>
      <c r="D224" t="s">
        <v>1117</v>
      </c>
    </row>
    <row r="225" spans="1:4" x14ac:dyDescent="0.25">
      <c r="A225" t="s">
        <v>3482</v>
      </c>
      <c r="B225" t="s">
        <v>1117</v>
      </c>
      <c r="C225" t="s">
        <v>2359</v>
      </c>
      <c r="D225" t="s">
        <v>1119</v>
      </c>
    </row>
    <row r="226" spans="1:4" x14ac:dyDescent="0.25">
      <c r="A226" t="s">
        <v>3483</v>
      </c>
      <c r="B226" t="s">
        <v>1115</v>
      </c>
      <c r="C226" t="s">
        <v>2399</v>
      </c>
      <c r="D226" t="s">
        <v>1119</v>
      </c>
    </row>
    <row r="227" spans="1:4" x14ac:dyDescent="0.25">
      <c r="A227" t="s">
        <v>3484</v>
      </c>
      <c r="B227" t="s">
        <v>1119</v>
      </c>
      <c r="C227" t="s">
        <v>2359</v>
      </c>
      <c r="D227" t="s">
        <v>3485</v>
      </c>
    </row>
    <row r="228" spans="1:4" x14ac:dyDescent="0.25">
      <c r="A228" t="s">
        <v>3486</v>
      </c>
      <c r="B228" t="s">
        <v>1115</v>
      </c>
      <c r="C228" t="s">
        <v>2399</v>
      </c>
      <c r="D228" t="s">
        <v>3485</v>
      </c>
    </row>
    <row r="229" spans="1:4" x14ac:dyDescent="0.25">
      <c r="A229" t="s">
        <v>3487</v>
      </c>
      <c r="B229" t="s">
        <v>127</v>
      </c>
      <c r="C229" t="s">
        <v>2359</v>
      </c>
      <c r="D229" t="s">
        <v>1122</v>
      </c>
    </row>
    <row r="230" spans="1:4" x14ac:dyDescent="0.25">
      <c r="A230" t="s">
        <v>3488</v>
      </c>
      <c r="B230" t="s">
        <v>1121</v>
      </c>
      <c r="C230" t="s">
        <v>2357</v>
      </c>
      <c r="D230" t="s">
        <v>1122</v>
      </c>
    </row>
    <row r="231" spans="1:4" x14ac:dyDescent="0.25">
      <c r="A231" t="s">
        <v>3489</v>
      </c>
      <c r="B231" t="s">
        <v>1122</v>
      </c>
      <c r="C231" t="s">
        <v>2359</v>
      </c>
      <c r="D231" t="s">
        <v>3490</v>
      </c>
    </row>
    <row r="232" spans="1:4" x14ac:dyDescent="0.25">
      <c r="A232" t="s">
        <v>3491</v>
      </c>
      <c r="B232" t="s">
        <v>1121</v>
      </c>
      <c r="C232" t="s">
        <v>2357</v>
      </c>
      <c r="D232" t="s">
        <v>3490</v>
      </c>
    </row>
    <row r="233" spans="1:4" x14ac:dyDescent="0.25">
      <c r="A233" t="s">
        <v>3492</v>
      </c>
      <c r="B233" t="s">
        <v>127</v>
      </c>
      <c r="C233" t="s">
        <v>2359</v>
      </c>
      <c r="D233" t="s">
        <v>1126</v>
      </c>
    </row>
    <row r="234" spans="1:4" x14ac:dyDescent="0.25">
      <c r="A234" t="s">
        <v>3493</v>
      </c>
      <c r="B234" t="s">
        <v>1125</v>
      </c>
      <c r="C234" t="s">
        <v>2357</v>
      </c>
      <c r="D234" t="s">
        <v>1126</v>
      </c>
    </row>
    <row r="235" spans="1:4" x14ac:dyDescent="0.25">
      <c r="A235" t="s">
        <v>3494</v>
      </c>
      <c r="B235" t="s">
        <v>1126</v>
      </c>
      <c r="C235" t="s">
        <v>2359</v>
      </c>
      <c r="D235" t="s">
        <v>3495</v>
      </c>
    </row>
    <row r="236" spans="1:4" x14ac:dyDescent="0.25">
      <c r="A236" t="s">
        <v>3496</v>
      </c>
      <c r="B236" t="s">
        <v>1125</v>
      </c>
      <c r="C236" t="s">
        <v>2357</v>
      </c>
      <c r="D236" t="s">
        <v>3495</v>
      </c>
    </row>
    <row r="237" spans="1:4" x14ac:dyDescent="0.25">
      <c r="A237" t="s">
        <v>3497</v>
      </c>
      <c r="B237" t="s">
        <v>127</v>
      </c>
      <c r="C237" t="s">
        <v>2359</v>
      </c>
      <c r="D237" t="s">
        <v>1132</v>
      </c>
    </row>
    <row r="238" spans="1:4" x14ac:dyDescent="0.25">
      <c r="A238" t="s">
        <v>3498</v>
      </c>
      <c r="B238" t="s">
        <v>131</v>
      </c>
      <c r="C238" t="s">
        <v>2399</v>
      </c>
      <c r="D238" t="s">
        <v>1132</v>
      </c>
    </row>
    <row r="239" spans="1:4" x14ac:dyDescent="0.25">
      <c r="A239" t="s">
        <v>3499</v>
      </c>
      <c r="B239" t="s">
        <v>1129</v>
      </c>
      <c r="C239" t="s">
        <v>2357</v>
      </c>
      <c r="D239" t="s">
        <v>1132</v>
      </c>
    </row>
    <row r="240" spans="1:4" x14ac:dyDescent="0.25">
      <c r="A240" t="s">
        <v>3500</v>
      </c>
      <c r="B240" t="s">
        <v>1132</v>
      </c>
      <c r="C240" t="s">
        <v>2359</v>
      </c>
      <c r="D240" t="s">
        <v>3501</v>
      </c>
    </row>
    <row r="241" spans="1:4" x14ac:dyDescent="0.25">
      <c r="A241" t="s">
        <v>3502</v>
      </c>
      <c r="B241" t="s">
        <v>131</v>
      </c>
      <c r="C241" t="s">
        <v>2399</v>
      </c>
      <c r="D241" t="s">
        <v>3501</v>
      </c>
    </row>
    <row r="242" spans="1:4" x14ac:dyDescent="0.25">
      <c r="A242" t="s">
        <v>3503</v>
      </c>
      <c r="B242" t="s">
        <v>1129</v>
      </c>
      <c r="C242" t="s">
        <v>2357</v>
      </c>
      <c r="D242" t="s">
        <v>3501</v>
      </c>
    </row>
    <row r="243" spans="1:4" x14ac:dyDescent="0.25">
      <c r="A243" t="s">
        <v>3504</v>
      </c>
      <c r="B243" t="s">
        <v>1132</v>
      </c>
      <c r="C243" t="s">
        <v>2359</v>
      </c>
      <c r="D243" t="s">
        <v>3505</v>
      </c>
    </row>
    <row r="244" spans="1:4" x14ac:dyDescent="0.25">
      <c r="A244" t="s">
        <v>3506</v>
      </c>
      <c r="B244" t="s">
        <v>131</v>
      </c>
      <c r="C244" t="s">
        <v>2399</v>
      </c>
      <c r="D244" t="s">
        <v>3505</v>
      </c>
    </row>
    <row r="245" spans="1:4" x14ac:dyDescent="0.25">
      <c r="A245" t="s">
        <v>3507</v>
      </c>
      <c r="B245" t="s">
        <v>1129</v>
      </c>
      <c r="C245" t="s">
        <v>2357</v>
      </c>
      <c r="D245" t="s">
        <v>3505</v>
      </c>
    </row>
    <row r="246" spans="1:4" x14ac:dyDescent="0.25">
      <c r="A246" t="s">
        <v>3508</v>
      </c>
      <c r="B246" t="s">
        <v>127</v>
      </c>
      <c r="C246" t="s">
        <v>2359</v>
      </c>
      <c r="D246" t="s">
        <v>1139</v>
      </c>
    </row>
    <row r="247" spans="1:4" x14ac:dyDescent="0.25">
      <c r="A247" t="s">
        <v>3509</v>
      </c>
      <c r="B247" t="s">
        <v>1138</v>
      </c>
      <c r="C247" t="s">
        <v>2357</v>
      </c>
      <c r="D247" t="s">
        <v>1139</v>
      </c>
    </row>
    <row r="248" spans="1:4" x14ac:dyDescent="0.25">
      <c r="A248" t="s">
        <v>3510</v>
      </c>
      <c r="B248" t="s">
        <v>1139</v>
      </c>
      <c r="C248" t="s">
        <v>2359</v>
      </c>
      <c r="D248" t="s">
        <v>3511</v>
      </c>
    </row>
    <row r="249" spans="1:4" x14ac:dyDescent="0.25">
      <c r="A249" t="s">
        <v>3512</v>
      </c>
      <c r="B249" t="s">
        <v>1138</v>
      </c>
      <c r="C249" t="s">
        <v>2357</v>
      </c>
      <c r="D249" t="s">
        <v>3511</v>
      </c>
    </row>
    <row r="250" spans="1:4" x14ac:dyDescent="0.25">
      <c r="A250" t="s">
        <v>3513</v>
      </c>
      <c r="B250" t="s">
        <v>127</v>
      </c>
      <c r="C250" t="s">
        <v>2359</v>
      </c>
      <c r="D250" t="s">
        <v>1143</v>
      </c>
    </row>
    <row r="251" spans="1:4" x14ac:dyDescent="0.25">
      <c r="A251" t="s">
        <v>3514</v>
      </c>
      <c r="B251" t="s">
        <v>1142</v>
      </c>
      <c r="C251" t="s">
        <v>2357</v>
      </c>
      <c r="D251" t="s">
        <v>1143</v>
      </c>
    </row>
    <row r="252" spans="1:4" x14ac:dyDescent="0.25">
      <c r="A252" t="s">
        <v>3515</v>
      </c>
      <c r="B252" t="s">
        <v>1143</v>
      </c>
      <c r="C252" t="s">
        <v>2359</v>
      </c>
      <c r="D252" t="s">
        <v>3516</v>
      </c>
    </row>
    <row r="253" spans="1:4" x14ac:dyDescent="0.25">
      <c r="A253" t="s">
        <v>3517</v>
      </c>
      <c r="B253" t="s">
        <v>1142</v>
      </c>
      <c r="C253" t="s">
        <v>2357</v>
      </c>
      <c r="D253" t="s">
        <v>3516</v>
      </c>
    </row>
    <row r="254" spans="1:4" x14ac:dyDescent="0.25">
      <c r="A254" t="s">
        <v>3518</v>
      </c>
      <c r="B254" t="s">
        <v>1146</v>
      </c>
      <c r="C254" t="s">
        <v>2359</v>
      </c>
      <c r="D254" t="s">
        <v>1149</v>
      </c>
    </row>
    <row r="255" spans="1:4" x14ac:dyDescent="0.25">
      <c r="A255" t="s">
        <v>3519</v>
      </c>
      <c r="B255" t="s">
        <v>1147</v>
      </c>
      <c r="C255" t="s">
        <v>2357</v>
      </c>
      <c r="D255" t="s">
        <v>1149</v>
      </c>
    </row>
    <row r="256" spans="1:4" x14ac:dyDescent="0.25">
      <c r="A256" t="s">
        <v>3520</v>
      </c>
      <c r="B256" t="s">
        <v>1149</v>
      </c>
      <c r="C256" t="s">
        <v>2359</v>
      </c>
      <c r="D256" t="s">
        <v>1151</v>
      </c>
    </row>
    <row r="257" spans="1:4" x14ac:dyDescent="0.25">
      <c r="A257" t="s">
        <v>3521</v>
      </c>
      <c r="B257" t="s">
        <v>1147</v>
      </c>
      <c r="C257" t="s">
        <v>2357</v>
      </c>
      <c r="D257" t="s">
        <v>1151</v>
      </c>
    </row>
    <row r="258" spans="1:4" x14ac:dyDescent="0.25">
      <c r="A258" t="s">
        <v>3522</v>
      </c>
      <c r="B258" t="s">
        <v>1151</v>
      </c>
      <c r="C258" t="s">
        <v>2359</v>
      </c>
      <c r="D258" t="s">
        <v>1152</v>
      </c>
    </row>
    <row r="259" spans="1:4" x14ac:dyDescent="0.25">
      <c r="A259" t="s">
        <v>3523</v>
      </c>
      <c r="B259" t="s">
        <v>1152</v>
      </c>
      <c r="C259" t="s">
        <v>2359</v>
      </c>
      <c r="D259" t="s">
        <v>3524</v>
      </c>
    </row>
    <row r="260" spans="1:4" x14ac:dyDescent="0.25">
      <c r="A260" t="s">
        <v>3525</v>
      </c>
      <c r="B260" t="s">
        <v>876</v>
      </c>
      <c r="C260" t="s">
        <v>2359</v>
      </c>
      <c r="D260" t="s">
        <v>1157</v>
      </c>
    </row>
    <row r="261" spans="1:4" x14ac:dyDescent="0.25">
      <c r="A261" t="s">
        <v>3526</v>
      </c>
      <c r="B261" t="s">
        <v>1155</v>
      </c>
      <c r="C261" t="s">
        <v>2357</v>
      </c>
      <c r="D261" t="s">
        <v>1157</v>
      </c>
    </row>
    <row r="262" spans="1:4" x14ac:dyDescent="0.25">
      <c r="A262" t="s">
        <v>3527</v>
      </c>
      <c r="B262" t="s">
        <v>1157</v>
      </c>
      <c r="C262" t="s">
        <v>2359</v>
      </c>
      <c r="D262" t="s">
        <v>3528</v>
      </c>
    </row>
    <row r="263" spans="1:4" x14ac:dyDescent="0.25">
      <c r="A263" t="s">
        <v>3529</v>
      </c>
      <c r="B263" t="s">
        <v>1155</v>
      </c>
      <c r="C263" t="s">
        <v>2357</v>
      </c>
      <c r="D263" t="s">
        <v>3528</v>
      </c>
    </row>
    <row r="264" spans="1:4" x14ac:dyDescent="0.25">
      <c r="A264" t="s">
        <v>3530</v>
      </c>
      <c r="B264" t="s">
        <v>1157</v>
      </c>
      <c r="C264" t="s">
        <v>2359</v>
      </c>
      <c r="D264" t="s">
        <v>3531</v>
      </c>
    </row>
    <row r="265" spans="1:4" x14ac:dyDescent="0.25">
      <c r="A265" t="s">
        <v>3532</v>
      </c>
      <c r="B265" t="s">
        <v>1155</v>
      </c>
      <c r="C265" t="s">
        <v>2357</v>
      </c>
      <c r="D265" t="s">
        <v>3531</v>
      </c>
    </row>
    <row r="266" spans="1:4" x14ac:dyDescent="0.25">
      <c r="A266" t="s">
        <v>3533</v>
      </c>
      <c r="B266" t="s">
        <v>1157</v>
      </c>
      <c r="C266" t="s">
        <v>2359</v>
      </c>
      <c r="D266" t="s">
        <v>3534</v>
      </c>
    </row>
    <row r="267" spans="1:4" x14ac:dyDescent="0.25">
      <c r="A267" t="s">
        <v>3535</v>
      </c>
      <c r="B267" t="s">
        <v>1155</v>
      </c>
      <c r="C267" t="s">
        <v>2357</v>
      </c>
      <c r="D267" t="s">
        <v>3534</v>
      </c>
    </row>
    <row r="268" spans="1:4" x14ac:dyDescent="0.25">
      <c r="A268" t="s">
        <v>3536</v>
      </c>
      <c r="B268" t="s">
        <v>1165</v>
      </c>
      <c r="C268" t="s">
        <v>2357</v>
      </c>
      <c r="D268" t="s">
        <v>1167</v>
      </c>
    </row>
    <row r="269" spans="1:4" x14ac:dyDescent="0.25">
      <c r="A269" t="s">
        <v>3537</v>
      </c>
      <c r="B269" t="s">
        <v>1167</v>
      </c>
      <c r="C269" t="s">
        <v>2359</v>
      </c>
      <c r="D269" t="s">
        <v>1169</v>
      </c>
    </row>
    <row r="270" spans="1:4" x14ac:dyDescent="0.25">
      <c r="A270" t="s">
        <v>3538</v>
      </c>
      <c r="B270" t="s">
        <v>1165</v>
      </c>
      <c r="C270" t="s">
        <v>2357</v>
      </c>
      <c r="D270" t="s">
        <v>1169</v>
      </c>
    </row>
    <row r="271" spans="1:4" x14ac:dyDescent="0.25">
      <c r="A271" t="s">
        <v>3539</v>
      </c>
      <c r="B271" t="s">
        <v>1169</v>
      </c>
      <c r="C271" t="s">
        <v>2359</v>
      </c>
      <c r="D271" t="s">
        <v>3540</v>
      </c>
    </row>
    <row r="272" spans="1:4" x14ac:dyDescent="0.25">
      <c r="A272" t="s">
        <v>3541</v>
      </c>
      <c r="B272" t="s">
        <v>127</v>
      </c>
      <c r="C272" t="s">
        <v>2359</v>
      </c>
      <c r="D272" t="s">
        <v>1174</v>
      </c>
    </row>
    <row r="273" spans="1:4" x14ac:dyDescent="0.25">
      <c r="A273" t="s">
        <v>3542</v>
      </c>
      <c r="B273" t="s">
        <v>1172</v>
      </c>
      <c r="C273" t="s">
        <v>2357</v>
      </c>
      <c r="D273" t="s">
        <v>1174</v>
      </c>
    </row>
    <row r="274" spans="1:4" x14ac:dyDescent="0.25">
      <c r="A274" t="s">
        <v>3543</v>
      </c>
      <c r="B274" t="s">
        <v>1174</v>
      </c>
      <c r="C274" t="s">
        <v>2359</v>
      </c>
      <c r="D274" t="s">
        <v>1176</v>
      </c>
    </row>
    <row r="275" spans="1:4" x14ac:dyDescent="0.25">
      <c r="A275" t="s">
        <v>3544</v>
      </c>
      <c r="B275" t="s">
        <v>1172</v>
      </c>
      <c r="C275" t="s">
        <v>2357</v>
      </c>
      <c r="D275" t="s">
        <v>1176</v>
      </c>
    </row>
    <row r="276" spans="1:4" x14ac:dyDescent="0.25">
      <c r="A276" t="s">
        <v>3545</v>
      </c>
      <c r="B276" t="s">
        <v>1176</v>
      </c>
      <c r="C276" t="s">
        <v>2359</v>
      </c>
      <c r="D276" t="s">
        <v>1178</v>
      </c>
    </row>
    <row r="277" spans="1:4" x14ac:dyDescent="0.25">
      <c r="A277" t="s">
        <v>3546</v>
      </c>
      <c r="B277" t="s">
        <v>1178</v>
      </c>
      <c r="C277" t="s">
        <v>2359</v>
      </c>
      <c r="D277" t="s">
        <v>3547</v>
      </c>
    </row>
    <row r="278" spans="1:4" x14ac:dyDescent="0.25">
      <c r="A278" t="s">
        <v>3548</v>
      </c>
      <c r="B278" t="s">
        <v>127</v>
      </c>
      <c r="C278" t="s">
        <v>2359</v>
      </c>
      <c r="D278" t="s">
        <v>1182</v>
      </c>
    </row>
    <row r="279" spans="1:4" x14ac:dyDescent="0.25">
      <c r="A279" t="s">
        <v>3549</v>
      </c>
      <c r="B279" t="s">
        <v>1181</v>
      </c>
      <c r="C279" t="s">
        <v>2357</v>
      </c>
      <c r="D279" t="s">
        <v>1182</v>
      </c>
    </row>
    <row r="280" spans="1:4" x14ac:dyDescent="0.25">
      <c r="A280" t="s">
        <v>3550</v>
      </c>
      <c r="B280" t="s">
        <v>1182</v>
      </c>
      <c r="C280" t="s">
        <v>2359</v>
      </c>
      <c r="D280" t="s">
        <v>3551</v>
      </c>
    </row>
    <row r="281" spans="1:4" x14ac:dyDescent="0.25">
      <c r="A281" t="s">
        <v>3552</v>
      </c>
      <c r="B281" t="s">
        <v>1181</v>
      </c>
      <c r="C281" t="s">
        <v>2357</v>
      </c>
      <c r="D281" t="s">
        <v>3551</v>
      </c>
    </row>
    <row r="282" spans="1:4" x14ac:dyDescent="0.25">
      <c r="A282" t="s">
        <v>3553</v>
      </c>
      <c r="B282" t="s">
        <v>127</v>
      </c>
      <c r="C282" t="s">
        <v>2359</v>
      </c>
      <c r="D282" t="s">
        <v>1186</v>
      </c>
    </row>
    <row r="283" spans="1:4" x14ac:dyDescent="0.25">
      <c r="A283" t="s">
        <v>3554</v>
      </c>
      <c r="B283" t="s">
        <v>1185</v>
      </c>
      <c r="C283" t="s">
        <v>2357</v>
      </c>
      <c r="D283" t="s">
        <v>1186</v>
      </c>
    </row>
    <row r="284" spans="1:4" x14ac:dyDescent="0.25">
      <c r="A284" t="s">
        <v>3555</v>
      </c>
      <c r="B284" t="s">
        <v>1186</v>
      </c>
      <c r="C284" t="s">
        <v>2359</v>
      </c>
      <c r="D284" t="s">
        <v>3556</v>
      </c>
    </row>
    <row r="285" spans="1:4" x14ac:dyDescent="0.25">
      <c r="A285" t="s">
        <v>3557</v>
      </c>
      <c r="B285" t="s">
        <v>1185</v>
      </c>
      <c r="C285" t="s">
        <v>2357</v>
      </c>
      <c r="D285" t="s">
        <v>3556</v>
      </c>
    </row>
    <row r="286" spans="1:4" x14ac:dyDescent="0.25">
      <c r="A286" t="s">
        <v>3558</v>
      </c>
      <c r="B286" t="s">
        <v>127</v>
      </c>
      <c r="C286" t="s">
        <v>2359</v>
      </c>
      <c r="D286" t="s">
        <v>1191</v>
      </c>
    </row>
    <row r="287" spans="1:4" x14ac:dyDescent="0.25">
      <c r="A287" t="s">
        <v>3559</v>
      </c>
      <c r="B287" t="s">
        <v>132</v>
      </c>
      <c r="C287" t="s">
        <v>2399</v>
      </c>
      <c r="D287" t="s">
        <v>1191</v>
      </c>
    </row>
    <row r="288" spans="1:4" x14ac:dyDescent="0.25">
      <c r="A288" t="s">
        <v>3560</v>
      </c>
      <c r="B288" t="s">
        <v>1189</v>
      </c>
      <c r="C288" t="s">
        <v>2357</v>
      </c>
      <c r="D288" t="s">
        <v>1191</v>
      </c>
    </row>
    <row r="289" spans="1:4" x14ac:dyDescent="0.25">
      <c r="A289" t="s">
        <v>3561</v>
      </c>
      <c r="B289" t="s">
        <v>1191</v>
      </c>
      <c r="C289" t="s">
        <v>2359</v>
      </c>
      <c r="D289" t="s">
        <v>1193</v>
      </c>
    </row>
    <row r="290" spans="1:4" x14ac:dyDescent="0.25">
      <c r="A290" t="s">
        <v>3562</v>
      </c>
      <c r="B290" t="s">
        <v>132</v>
      </c>
      <c r="C290" t="s">
        <v>2399</v>
      </c>
      <c r="D290" t="s">
        <v>1193</v>
      </c>
    </row>
    <row r="291" spans="1:4" x14ac:dyDescent="0.25">
      <c r="A291" t="s">
        <v>3563</v>
      </c>
      <c r="B291" t="s">
        <v>1189</v>
      </c>
      <c r="C291" t="s">
        <v>2357</v>
      </c>
      <c r="D291" t="s">
        <v>1193</v>
      </c>
    </row>
    <row r="292" spans="1:4" x14ac:dyDescent="0.25">
      <c r="A292" t="s">
        <v>3564</v>
      </c>
      <c r="B292" t="s">
        <v>1193</v>
      </c>
      <c r="C292" t="s">
        <v>2359</v>
      </c>
      <c r="D292" t="s">
        <v>1560</v>
      </c>
    </row>
    <row r="293" spans="1:4" x14ac:dyDescent="0.25">
      <c r="A293" t="s">
        <v>3565</v>
      </c>
      <c r="B293" t="s">
        <v>132</v>
      </c>
      <c r="C293" t="s">
        <v>2399</v>
      </c>
      <c r="D293" t="s">
        <v>1560</v>
      </c>
    </row>
    <row r="294" spans="1:4" x14ac:dyDescent="0.25">
      <c r="A294" t="s">
        <v>3566</v>
      </c>
      <c r="B294" t="s">
        <v>1560</v>
      </c>
      <c r="C294" t="s">
        <v>2366</v>
      </c>
      <c r="D294" t="s">
        <v>1197</v>
      </c>
    </row>
    <row r="295" spans="1:4" x14ac:dyDescent="0.25">
      <c r="A295" t="s">
        <v>3567</v>
      </c>
      <c r="B295" t="s">
        <v>1409</v>
      </c>
      <c r="C295" t="s">
        <v>2366</v>
      </c>
      <c r="D295" t="s">
        <v>1197</v>
      </c>
    </row>
    <row r="296" spans="1:4" x14ac:dyDescent="0.25">
      <c r="A296" t="s">
        <v>3568</v>
      </c>
      <c r="B296" t="s">
        <v>132</v>
      </c>
      <c r="C296" t="s">
        <v>2399</v>
      </c>
      <c r="D296" t="s">
        <v>1197</v>
      </c>
    </row>
    <row r="297" spans="1:4" x14ac:dyDescent="0.25">
      <c r="A297" t="s">
        <v>3569</v>
      </c>
      <c r="B297" t="s">
        <v>1197</v>
      </c>
      <c r="C297" t="s">
        <v>2359</v>
      </c>
      <c r="D297" t="s">
        <v>3570</v>
      </c>
    </row>
    <row r="298" spans="1:4" x14ac:dyDescent="0.25">
      <c r="A298" t="s">
        <v>3571</v>
      </c>
      <c r="B298" t="s">
        <v>132</v>
      </c>
      <c r="C298" t="s">
        <v>2399</v>
      </c>
      <c r="D298" t="s">
        <v>3570</v>
      </c>
    </row>
    <row r="299" spans="1:4" x14ac:dyDescent="0.25">
      <c r="A299" t="s">
        <v>3572</v>
      </c>
      <c r="B299" t="s">
        <v>1197</v>
      </c>
      <c r="C299" t="s">
        <v>2359</v>
      </c>
      <c r="D299" t="s">
        <v>3573</v>
      </c>
    </row>
    <row r="300" spans="1:4" x14ac:dyDescent="0.25">
      <c r="A300" t="s">
        <v>3574</v>
      </c>
      <c r="B300" t="s">
        <v>132</v>
      </c>
      <c r="C300" t="s">
        <v>2399</v>
      </c>
      <c r="D300" t="s">
        <v>3573</v>
      </c>
    </row>
    <row r="301" spans="1:4" x14ac:dyDescent="0.25">
      <c r="A301" t="s">
        <v>3575</v>
      </c>
      <c r="B301" t="s">
        <v>127</v>
      </c>
      <c r="C301" t="s">
        <v>2359</v>
      </c>
      <c r="D301" t="s">
        <v>1204</v>
      </c>
    </row>
    <row r="302" spans="1:4" x14ac:dyDescent="0.25">
      <c r="A302" t="s">
        <v>3576</v>
      </c>
      <c r="B302" t="s">
        <v>1203</v>
      </c>
      <c r="C302" t="s">
        <v>2357</v>
      </c>
      <c r="D302" t="s">
        <v>1204</v>
      </c>
    </row>
    <row r="303" spans="1:4" x14ac:dyDescent="0.25">
      <c r="A303" t="s">
        <v>3577</v>
      </c>
      <c r="B303" t="s">
        <v>1204</v>
      </c>
      <c r="C303" t="s">
        <v>2359</v>
      </c>
      <c r="D303" t="s">
        <v>3578</v>
      </c>
    </row>
    <row r="304" spans="1:4" x14ac:dyDescent="0.25">
      <c r="A304" t="s">
        <v>3579</v>
      </c>
      <c r="B304" t="s">
        <v>1203</v>
      </c>
      <c r="C304" t="s">
        <v>2357</v>
      </c>
      <c r="D304" t="s">
        <v>3578</v>
      </c>
    </row>
    <row r="305" spans="1:4" x14ac:dyDescent="0.25">
      <c r="A305" t="s">
        <v>3580</v>
      </c>
      <c r="B305" t="s">
        <v>912</v>
      </c>
      <c r="C305" t="s">
        <v>2359</v>
      </c>
      <c r="D305" t="s">
        <v>1209</v>
      </c>
    </row>
    <row r="306" spans="1:4" x14ac:dyDescent="0.25">
      <c r="A306" t="s">
        <v>3581</v>
      </c>
      <c r="B306" t="s">
        <v>131</v>
      </c>
      <c r="C306" t="s">
        <v>2399</v>
      </c>
      <c r="D306" t="s">
        <v>1209</v>
      </c>
    </row>
    <row r="307" spans="1:4" x14ac:dyDescent="0.25">
      <c r="A307" t="s">
        <v>3582</v>
      </c>
      <c r="B307" t="s">
        <v>1207</v>
      </c>
      <c r="C307" t="s">
        <v>2357</v>
      </c>
      <c r="D307" t="s">
        <v>1209</v>
      </c>
    </row>
    <row r="308" spans="1:4" x14ac:dyDescent="0.25">
      <c r="A308" t="s">
        <v>3583</v>
      </c>
      <c r="B308" t="s">
        <v>1209</v>
      </c>
      <c r="C308" t="s">
        <v>2359</v>
      </c>
      <c r="D308" t="s">
        <v>1211</v>
      </c>
    </row>
    <row r="309" spans="1:4" x14ac:dyDescent="0.25">
      <c r="A309" t="s">
        <v>3584</v>
      </c>
      <c r="B309" t="s">
        <v>131</v>
      </c>
      <c r="C309" t="s">
        <v>2399</v>
      </c>
      <c r="D309" t="s">
        <v>1211</v>
      </c>
    </row>
    <row r="310" spans="1:4" x14ac:dyDescent="0.25">
      <c r="A310" t="s">
        <v>3585</v>
      </c>
      <c r="B310" t="s">
        <v>1207</v>
      </c>
      <c r="C310" t="s">
        <v>2357</v>
      </c>
      <c r="D310" t="s">
        <v>1211</v>
      </c>
    </row>
    <row r="311" spans="1:4" x14ac:dyDescent="0.25">
      <c r="A311" t="s">
        <v>3586</v>
      </c>
      <c r="B311" t="s">
        <v>1211</v>
      </c>
      <c r="C311" t="s">
        <v>2359</v>
      </c>
      <c r="D311" t="s">
        <v>1213</v>
      </c>
    </row>
    <row r="312" spans="1:4" x14ac:dyDescent="0.25">
      <c r="A312" t="s">
        <v>3587</v>
      </c>
      <c r="B312" t="s">
        <v>131</v>
      </c>
      <c r="C312" t="s">
        <v>2399</v>
      </c>
      <c r="D312" t="s">
        <v>1213</v>
      </c>
    </row>
    <row r="313" spans="1:4" x14ac:dyDescent="0.25">
      <c r="A313" t="s">
        <v>3588</v>
      </c>
      <c r="B313" t="s">
        <v>1213</v>
      </c>
      <c r="C313" t="s">
        <v>2359</v>
      </c>
      <c r="D313" t="s">
        <v>1214</v>
      </c>
    </row>
    <row r="314" spans="1:4" x14ac:dyDescent="0.25">
      <c r="A314" t="s">
        <v>3589</v>
      </c>
      <c r="B314" t="s">
        <v>131</v>
      </c>
      <c r="C314" t="s">
        <v>2399</v>
      </c>
      <c r="D314" t="s">
        <v>1214</v>
      </c>
    </row>
    <row r="315" spans="1:4" x14ac:dyDescent="0.25">
      <c r="A315" t="s">
        <v>3590</v>
      </c>
      <c r="B315" t="s">
        <v>1214</v>
      </c>
      <c r="C315" t="s">
        <v>2359</v>
      </c>
      <c r="D315" t="s">
        <v>3591</v>
      </c>
    </row>
    <row r="316" spans="1:4" x14ac:dyDescent="0.25">
      <c r="A316" t="s">
        <v>3592</v>
      </c>
      <c r="B316" t="s">
        <v>131</v>
      </c>
      <c r="C316" t="s">
        <v>2399</v>
      </c>
      <c r="D316" t="s">
        <v>3591</v>
      </c>
    </row>
    <row r="317" spans="1:4" x14ac:dyDescent="0.25">
      <c r="A317" t="s">
        <v>3593</v>
      </c>
      <c r="B317" t="s">
        <v>868</v>
      </c>
      <c r="C317" t="s">
        <v>2359</v>
      </c>
      <c r="D317" t="s">
        <v>1219</v>
      </c>
    </row>
    <row r="318" spans="1:4" x14ac:dyDescent="0.25">
      <c r="A318" t="s">
        <v>3594</v>
      </c>
      <c r="B318" t="s">
        <v>131</v>
      </c>
      <c r="C318" t="s">
        <v>2399</v>
      </c>
      <c r="D318" t="s">
        <v>1219</v>
      </c>
    </row>
    <row r="319" spans="1:4" x14ac:dyDescent="0.25">
      <c r="A319" t="s">
        <v>3595</v>
      </c>
      <c r="B319" t="s">
        <v>1217</v>
      </c>
      <c r="C319" t="s">
        <v>2357</v>
      </c>
      <c r="D319" t="s">
        <v>1219</v>
      </c>
    </row>
    <row r="320" spans="1:4" x14ac:dyDescent="0.25">
      <c r="A320" t="s">
        <v>3596</v>
      </c>
      <c r="B320" t="s">
        <v>1219</v>
      </c>
      <c r="C320" t="s">
        <v>2359</v>
      </c>
      <c r="D320" t="s">
        <v>1221</v>
      </c>
    </row>
    <row r="321" spans="1:4" x14ac:dyDescent="0.25">
      <c r="A321" t="s">
        <v>3597</v>
      </c>
      <c r="B321" t="s">
        <v>131</v>
      </c>
      <c r="C321" t="s">
        <v>2399</v>
      </c>
      <c r="D321" t="s">
        <v>1221</v>
      </c>
    </row>
    <row r="322" spans="1:4" x14ac:dyDescent="0.25">
      <c r="A322" t="s">
        <v>3598</v>
      </c>
      <c r="B322" t="s">
        <v>1217</v>
      </c>
      <c r="C322" t="s">
        <v>2357</v>
      </c>
      <c r="D322" t="s">
        <v>1221</v>
      </c>
    </row>
    <row r="323" spans="1:4" x14ac:dyDescent="0.25">
      <c r="A323" t="s">
        <v>3599</v>
      </c>
      <c r="B323" t="s">
        <v>1221</v>
      </c>
      <c r="C323" t="s">
        <v>2359</v>
      </c>
      <c r="D323" t="s">
        <v>1222</v>
      </c>
    </row>
    <row r="324" spans="1:4" x14ac:dyDescent="0.25">
      <c r="A324" t="s">
        <v>3600</v>
      </c>
      <c r="B324" t="s">
        <v>131</v>
      </c>
      <c r="C324" t="s">
        <v>2399</v>
      </c>
      <c r="D324" t="s">
        <v>1222</v>
      </c>
    </row>
    <row r="325" spans="1:4" x14ac:dyDescent="0.25">
      <c r="A325" t="s">
        <v>3601</v>
      </c>
      <c r="B325" t="s">
        <v>1222</v>
      </c>
      <c r="C325" t="s">
        <v>2359</v>
      </c>
      <c r="D325" t="s">
        <v>3602</v>
      </c>
    </row>
    <row r="326" spans="1:4" x14ac:dyDescent="0.25">
      <c r="A326" t="s">
        <v>3603</v>
      </c>
      <c r="B326" t="s">
        <v>131</v>
      </c>
      <c r="C326" t="s">
        <v>2399</v>
      </c>
      <c r="D326" t="s">
        <v>3602</v>
      </c>
    </row>
    <row r="327" spans="1:4" x14ac:dyDescent="0.25">
      <c r="A327" t="s">
        <v>3604</v>
      </c>
      <c r="B327" t="s">
        <v>127</v>
      </c>
      <c r="C327" t="s">
        <v>2359</v>
      </c>
      <c r="D327" t="s">
        <v>1227</v>
      </c>
    </row>
    <row r="328" spans="1:4" x14ac:dyDescent="0.25">
      <c r="A328" t="s">
        <v>3605</v>
      </c>
      <c r="B328" t="s">
        <v>1225</v>
      </c>
      <c r="C328" t="s">
        <v>2357</v>
      </c>
      <c r="D328" t="s">
        <v>1227</v>
      </c>
    </row>
    <row r="329" spans="1:4" x14ac:dyDescent="0.25">
      <c r="A329" t="s">
        <v>3606</v>
      </c>
      <c r="B329" t="s">
        <v>1227</v>
      </c>
      <c r="C329" t="s">
        <v>2359</v>
      </c>
      <c r="D329" t="s">
        <v>1228</v>
      </c>
    </row>
    <row r="330" spans="1:4" x14ac:dyDescent="0.25">
      <c r="A330" t="s">
        <v>3607</v>
      </c>
      <c r="B330" t="s">
        <v>1225</v>
      </c>
      <c r="C330" t="s">
        <v>2357</v>
      </c>
      <c r="D330" t="s">
        <v>1228</v>
      </c>
    </row>
    <row r="331" spans="1:4" x14ac:dyDescent="0.25">
      <c r="A331" t="s">
        <v>3608</v>
      </c>
      <c r="B331" t="s">
        <v>1228</v>
      </c>
      <c r="C331" t="s">
        <v>2359</v>
      </c>
      <c r="D331" t="s">
        <v>3609</v>
      </c>
    </row>
    <row r="332" spans="1:4" x14ac:dyDescent="0.25">
      <c r="A332" t="s">
        <v>3610</v>
      </c>
      <c r="B332" t="s">
        <v>894</v>
      </c>
      <c r="C332" t="s">
        <v>2366</v>
      </c>
      <c r="D332" t="s">
        <v>1233</v>
      </c>
    </row>
    <row r="333" spans="1:4" x14ac:dyDescent="0.25">
      <c r="A333" t="s">
        <v>3611</v>
      </c>
      <c r="B333" t="s">
        <v>942</v>
      </c>
      <c r="C333" t="s">
        <v>2366</v>
      </c>
      <c r="D333" t="s">
        <v>1233</v>
      </c>
    </row>
    <row r="334" spans="1:4" x14ac:dyDescent="0.25">
      <c r="A334" t="s">
        <v>3612</v>
      </c>
      <c r="B334" t="s">
        <v>131</v>
      </c>
      <c r="C334" t="s">
        <v>2399</v>
      </c>
      <c r="D334" t="s">
        <v>1233</v>
      </c>
    </row>
    <row r="335" spans="1:4" x14ac:dyDescent="0.25">
      <c r="A335" t="s">
        <v>3613</v>
      </c>
      <c r="B335" t="s">
        <v>1232</v>
      </c>
      <c r="C335" t="s">
        <v>2357</v>
      </c>
      <c r="D335" t="s">
        <v>1233</v>
      </c>
    </row>
    <row r="336" spans="1:4" x14ac:dyDescent="0.25">
      <c r="A336" t="s">
        <v>3614</v>
      </c>
      <c r="B336" t="s">
        <v>1233</v>
      </c>
      <c r="C336" t="s">
        <v>2359</v>
      </c>
      <c r="D336" t="s">
        <v>3615</v>
      </c>
    </row>
    <row r="337" spans="1:4" x14ac:dyDescent="0.25">
      <c r="A337" t="s">
        <v>3616</v>
      </c>
      <c r="B337" t="s">
        <v>131</v>
      </c>
      <c r="C337" t="s">
        <v>2399</v>
      </c>
      <c r="D337" t="s">
        <v>3615</v>
      </c>
    </row>
    <row r="338" spans="1:4" x14ac:dyDescent="0.25">
      <c r="A338" t="s">
        <v>3617</v>
      </c>
      <c r="B338" t="s">
        <v>1232</v>
      </c>
      <c r="C338" t="s">
        <v>2357</v>
      </c>
      <c r="D338" t="s">
        <v>3615</v>
      </c>
    </row>
    <row r="339" spans="1:4" x14ac:dyDescent="0.25">
      <c r="A339" t="s">
        <v>3618</v>
      </c>
      <c r="B339" t="s">
        <v>889</v>
      </c>
      <c r="C339" t="s">
        <v>2359</v>
      </c>
      <c r="D339" t="s">
        <v>1237</v>
      </c>
    </row>
    <row r="340" spans="1:4" x14ac:dyDescent="0.25">
      <c r="A340" t="s">
        <v>3619</v>
      </c>
      <c r="B340" t="s">
        <v>131</v>
      </c>
      <c r="C340" t="s">
        <v>2399</v>
      </c>
      <c r="D340" t="s">
        <v>1237</v>
      </c>
    </row>
    <row r="341" spans="1:4" x14ac:dyDescent="0.25">
      <c r="A341" t="s">
        <v>3620</v>
      </c>
      <c r="B341" t="s">
        <v>1236</v>
      </c>
      <c r="C341" t="s">
        <v>2357</v>
      </c>
      <c r="D341" t="s">
        <v>1237</v>
      </c>
    </row>
    <row r="342" spans="1:4" x14ac:dyDescent="0.25">
      <c r="A342" t="s">
        <v>3621</v>
      </c>
      <c r="B342" t="s">
        <v>1237</v>
      </c>
      <c r="C342" t="s">
        <v>2359</v>
      </c>
      <c r="D342" t="s">
        <v>3622</v>
      </c>
    </row>
    <row r="343" spans="1:4" x14ac:dyDescent="0.25">
      <c r="A343" t="s">
        <v>3623</v>
      </c>
      <c r="B343" t="s">
        <v>131</v>
      </c>
      <c r="C343" t="s">
        <v>2399</v>
      </c>
      <c r="D343" t="s">
        <v>3622</v>
      </c>
    </row>
    <row r="344" spans="1:4" x14ac:dyDescent="0.25">
      <c r="A344" t="s">
        <v>3624</v>
      </c>
      <c r="B344" t="s">
        <v>1236</v>
      </c>
      <c r="C344" t="s">
        <v>2357</v>
      </c>
      <c r="D344" t="s">
        <v>3622</v>
      </c>
    </row>
    <row r="345" spans="1:4" x14ac:dyDescent="0.25">
      <c r="A345" t="s">
        <v>3625</v>
      </c>
      <c r="B345" t="s">
        <v>127</v>
      </c>
      <c r="C345" t="s">
        <v>2359</v>
      </c>
      <c r="D345" t="s">
        <v>1242</v>
      </c>
    </row>
    <row r="346" spans="1:4" x14ac:dyDescent="0.25">
      <c r="A346" t="s">
        <v>3626</v>
      </c>
      <c r="B346" t="s">
        <v>1240</v>
      </c>
      <c r="C346" t="s">
        <v>2399</v>
      </c>
      <c r="D346" t="s">
        <v>1242</v>
      </c>
    </row>
    <row r="347" spans="1:4" x14ac:dyDescent="0.25">
      <c r="A347" t="s">
        <v>3627</v>
      </c>
      <c r="B347" t="s">
        <v>1241</v>
      </c>
      <c r="C347" t="s">
        <v>2357</v>
      </c>
      <c r="D347" t="s">
        <v>1242</v>
      </c>
    </row>
    <row r="348" spans="1:4" x14ac:dyDescent="0.25">
      <c r="A348" t="s">
        <v>3628</v>
      </c>
      <c r="B348" t="s">
        <v>1242</v>
      </c>
      <c r="C348" t="s">
        <v>2359</v>
      </c>
      <c r="D348" t="s">
        <v>3629</v>
      </c>
    </row>
    <row r="349" spans="1:4" x14ac:dyDescent="0.25">
      <c r="A349" t="s">
        <v>3630</v>
      </c>
      <c r="B349" t="s">
        <v>1240</v>
      </c>
      <c r="C349" t="s">
        <v>2399</v>
      </c>
      <c r="D349" t="s">
        <v>3629</v>
      </c>
    </row>
    <row r="350" spans="1:4" x14ac:dyDescent="0.25">
      <c r="A350" t="s">
        <v>3631</v>
      </c>
      <c r="B350" t="s">
        <v>1241</v>
      </c>
      <c r="C350" t="s">
        <v>2357</v>
      </c>
      <c r="D350" t="s">
        <v>3629</v>
      </c>
    </row>
    <row r="351" spans="1:4" x14ac:dyDescent="0.25">
      <c r="A351" t="s">
        <v>3632</v>
      </c>
      <c r="B351" t="s">
        <v>903</v>
      </c>
      <c r="C351" t="s">
        <v>2359</v>
      </c>
      <c r="D351" t="s">
        <v>1247</v>
      </c>
    </row>
    <row r="352" spans="1:4" x14ac:dyDescent="0.25">
      <c r="A352" t="s">
        <v>3633</v>
      </c>
      <c r="B352" t="s">
        <v>131</v>
      </c>
      <c r="C352" t="s">
        <v>2399</v>
      </c>
      <c r="D352" t="s">
        <v>1247</v>
      </c>
    </row>
    <row r="353" spans="1:4" x14ac:dyDescent="0.25">
      <c r="A353" t="s">
        <v>3634</v>
      </c>
      <c r="B353" t="s">
        <v>1245</v>
      </c>
      <c r="C353" t="s">
        <v>2357</v>
      </c>
      <c r="D353" t="s">
        <v>1247</v>
      </c>
    </row>
    <row r="354" spans="1:4" x14ac:dyDescent="0.25">
      <c r="A354" t="s">
        <v>3635</v>
      </c>
      <c r="B354" t="s">
        <v>1247</v>
      </c>
      <c r="C354" t="s">
        <v>2359</v>
      </c>
      <c r="D354" t="s">
        <v>1249</v>
      </c>
    </row>
    <row r="355" spans="1:4" x14ac:dyDescent="0.25">
      <c r="A355" t="s">
        <v>3636</v>
      </c>
      <c r="B355" t="s">
        <v>131</v>
      </c>
      <c r="C355" t="s">
        <v>2399</v>
      </c>
      <c r="D355" t="s">
        <v>1249</v>
      </c>
    </row>
    <row r="356" spans="1:4" x14ac:dyDescent="0.25">
      <c r="A356" t="s">
        <v>3637</v>
      </c>
      <c r="B356" t="s">
        <v>1245</v>
      </c>
      <c r="C356" t="s">
        <v>2357</v>
      </c>
      <c r="D356" t="s">
        <v>1249</v>
      </c>
    </row>
    <row r="357" spans="1:4" x14ac:dyDescent="0.25">
      <c r="A357" t="s">
        <v>3638</v>
      </c>
      <c r="B357" t="s">
        <v>1249</v>
      </c>
      <c r="C357" t="s">
        <v>2359</v>
      </c>
      <c r="D357" t="s">
        <v>1250</v>
      </c>
    </row>
    <row r="358" spans="1:4" x14ac:dyDescent="0.25">
      <c r="A358" t="s">
        <v>3639</v>
      </c>
      <c r="B358" t="s">
        <v>131</v>
      </c>
      <c r="C358" t="s">
        <v>2399</v>
      </c>
      <c r="D358" t="s">
        <v>1250</v>
      </c>
    </row>
    <row r="359" spans="1:4" x14ac:dyDescent="0.25">
      <c r="A359" t="s">
        <v>3640</v>
      </c>
      <c r="B359" t="s">
        <v>1250</v>
      </c>
      <c r="C359" t="s">
        <v>2359</v>
      </c>
      <c r="D359" t="s">
        <v>3641</v>
      </c>
    </row>
    <row r="360" spans="1:4" x14ac:dyDescent="0.25">
      <c r="A360" t="s">
        <v>3642</v>
      </c>
      <c r="B360" t="s">
        <v>131</v>
      </c>
      <c r="C360" t="s">
        <v>2399</v>
      </c>
      <c r="D360" t="s">
        <v>3641</v>
      </c>
    </row>
    <row r="361" spans="1:4" x14ac:dyDescent="0.25">
      <c r="A361" t="s">
        <v>3643</v>
      </c>
      <c r="B361" t="s">
        <v>127</v>
      </c>
      <c r="C361" t="s">
        <v>2359</v>
      </c>
      <c r="D361" t="s">
        <v>1254</v>
      </c>
    </row>
    <row r="362" spans="1:4" x14ac:dyDescent="0.25">
      <c r="A362" t="s">
        <v>3644</v>
      </c>
      <c r="B362" t="s">
        <v>1253</v>
      </c>
      <c r="C362" t="s">
        <v>2357</v>
      </c>
      <c r="D362" t="s">
        <v>1254</v>
      </c>
    </row>
    <row r="363" spans="1:4" x14ac:dyDescent="0.25">
      <c r="A363" t="s">
        <v>3645</v>
      </c>
      <c r="B363" t="s">
        <v>1254</v>
      </c>
      <c r="C363" t="s">
        <v>2359</v>
      </c>
      <c r="D363" t="s">
        <v>3646</v>
      </c>
    </row>
    <row r="364" spans="1:4" x14ac:dyDescent="0.25">
      <c r="A364" t="s">
        <v>3647</v>
      </c>
      <c r="B364" t="s">
        <v>1253</v>
      </c>
      <c r="C364" t="s">
        <v>2357</v>
      </c>
      <c r="D364" t="s">
        <v>3646</v>
      </c>
    </row>
    <row r="365" spans="1:4" x14ac:dyDescent="0.25">
      <c r="A365" t="s">
        <v>3648</v>
      </c>
      <c r="B365" t="s">
        <v>127</v>
      </c>
      <c r="C365" t="s">
        <v>2359</v>
      </c>
      <c r="D365" t="s">
        <v>1258</v>
      </c>
    </row>
    <row r="366" spans="1:4" x14ac:dyDescent="0.25">
      <c r="A366" t="s">
        <v>3649</v>
      </c>
      <c r="B366" t="s">
        <v>1257</v>
      </c>
      <c r="C366" t="s">
        <v>2357</v>
      </c>
      <c r="D366" t="s">
        <v>1258</v>
      </c>
    </row>
    <row r="367" spans="1:4" x14ac:dyDescent="0.25">
      <c r="A367" t="s">
        <v>3650</v>
      </c>
      <c r="B367" t="s">
        <v>1258</v>
      </c>
      <c r="C367" t="s">
        <v>2359</v>
      </c>
      <c r="D367" t="s">
        <v>3651</v>
      </c>
    </row>
    <row r="368" spans="1:4" x14ac:dyDescent="0.25">
      <c r="A368" t="s">
        <v>3652</v>
      </c>
      <c r="B368" t="s">
        <v>1257</v>
      </c>
      <c r="C368" t="s">
        <v>2357</v>
      </c>
      <c r="D368" t="s">
        <v>3651</v>
      </c>
    </row>
    <row r="369" spans="1:4" x14ac:dyDescent="0.25">
      <c r="A369" t="s">
        <v>3653</v>
      </c>
      <c r="B369" t="s">
        <v>127</v>
      </c>
      <c r="C369" t="s">
        <v>2359</v>
      </c>
      <c r="D369" t="s">
        <v>1262</v>
      </c>
    </row>
    <row r="370" spans="1:4" x14ac:dyDescent="0.25">
      <c r="A370" t="s">
        <v>3654</v>
      </c>
      <c r="B370" t="s">
        <v>1261</v>
      </c>
      <c r="C370" t="s">
        <v>2357</v>
      </c>
      <c r="D370" t="s">
        <v>1262</v>
      </c>
    </row>
    <row r="371" spans="1:4" x14ac:dyDescent="0.25">
      <c r="A371" t="s">
        <v>3655</v>
      </c>
      <c r="B371" t="s">
        <v>1262</v>
      </c>
      <c r="C371" t="s">
        <v>2359</v>
      </c>
      <c r="D371" t="s">
        <v>3656</v>
      </c>
    </row>
    <row r="372" spans="1:4" x14ac:dyDescent="0.25">
      <c r="A372" t="s">
        <v>3657</v>
      </c>
      <c r="B372" t="s">
        <v>1261</v>
      </c>
      <c r="C372" t="s">
        <v>2357</v>
      </c>
      <c r="D372" t="s">
        <v>3656</v>
      </c>
    </row>
    <row r="373" spans="1:4" x14ac:dyDescent="0.25">
      <c r="A373" t="s">
        <v>3658</v>
      </c>
      <c r="B373" t="s">
        <v>942</v>
      </c>
      <c r="C373" t="s">
        <v>2359</v>
      </c>
      <c r="D373" t="s">
        <v>1267</v>
      </c>
    </row>
    <row r="374" spans="1:4" x14ac:dyDescent="0.25">
      <c r="A374" t="s">
        <v>3659</v>
      </c>
      <c r="B374" t="s">
        <v>131</v>
      </c>
      <c r="C374" t="s">
        <v>2399</v>
      </c>
      <c r="D374" t="s">
        <v>1267</v>
      </c>
    </row>
    <row r="375" spans="1:4" x14ac:dyDescent="0.25">
      <c r="A375" t="s">
        <v>3660</v>
      </c>
      <c r="B375" t="s">
        <v>1265</v>
      </c>
      <c r="C375" t="s">
        <v>2357</v>
      </c>
      <c r="D375" t="s">
        <v>1267</v>
      </c>
    </row>
    <row r="376" spans="1:4" x14ac:dyDescent="0.25">
      <c r="A376" t="s">
        <v>3661</v>
      </c>
      <c r="B376" t="s">
        <v>1267</v>
      </c>
      <c r="C376" t="s">
        <v>2359</v>
      </c>
      <c r="D376" t="s">
        <v>1269</v>
      </c>
    </row>
    <row r="377" spans="1:4" x14ac:dyDescent="0.25">
      <c r="A377" t="s">
        <v>3662</v>
      </c>
      <c r="B377" t="s">
        <v>131</v>
      </c>
      <c r="C377" t="s">
        <v>2399</v>
      </c>
      <c r="D377" t="s">
        <v>1269</v>
      </c>
    </row>
    <row r="378" spans="1:4" x14ac:dyDescent="0.25">
      <c r="A378" t="s">
        <v>3663</v>
      </c>
      <c r="B378" t="s">
        <v>1265</v>
      </c>
      <c r="C378" t="s">
        <v>2357</v>
      </c>
      <c r="D378" t="s">
        <v>1269</v>
      </c>
    </row>
    <row r="379" spans="1:4" x14ac:dyDescent="0.25">
      <c r="A379" t="s">
        <v>3664</v>
      </c>
      <c r="B379" t="s">
        <v>1269</v>
      </c>
      <c r="C379" t="s">
        <v>2359</v>
      </c>
      <c r="D379" t="s">
        <v>1271</v>
      </c>
    </row>
    <row r="380" spans="1:4" x14ac:dyDescent="0.25">
      <c r="A380" t="s">
        <v>3665</v>
      </c>
      <c r="B380" t="s">
        <v>131</v>
      </c>
      <c r="C380" t="s">
        <v>2399</v>
      </c>
      <c r="D380" t="s">
        <v>1271</v>
      </c>
    </row>
    <row r="381" spans="1:4" x14ac:dyDescent="0.25">
      <c r="A381" t="s">
        <v>3666</v>
      </c>
      <c r="B381" t="s">
        <v>1271</v>
      </c>
      <c r="C381" t="s">
        <v>2359</v>
      </c>
      <c r="D381" t="s">
        <v>1273</v>
      </c>
    </row>
    <row r="382" spans="1:4" x14ac:dyDescent="0.25">
      <c r="A382" t="s">
        <v>3667</v>
      </c>
      <c r="B382" t="s">
        <v>131</v>
      </c>
      <c r="C382" t="s">
        <v>2399</v>
      </c>
      <c r="D382" t="s">
        <v>1273</v>
      </c>
    </row>
    <row r="383" spans="1:4" x14ac:dyDescent="0.25">
      <c r="A383" t="s">
        <v>3668</v>
      </c>
      <c r="B383" t="s">
        <v>1273</v>
      </c>
      <c r="C383" t="s">
        <v>2359</v>
      </c>
      <c r="D383" t="s">
        <v>1275</v>
      </c>
    </row>
    <row r="384" spans="1:4" x14ac:dyDescent="0.25">
      <c r="A384" t="s">
        <v>3669</v>
      </c>
      <c r="B384" t="s">
        <v>131</v>
      </c>
      <c r="C384" t="s">
        <v>2399</v>
      </c>
      <c r="D384" t="s">
        <v>1275</v>
      </c>
    </row>
    <row r="385" spans="1:4" x14ac:dyDescent="0.25">
      <c r="A385" t="s">
        <v>3670</v>
      </c>
      <c r="B385" t="s">
        <v>1275</v>
      </c>
      <c r="C385" t="s">
        <v>2359</v>
      </c>
      <c r="D385" t="s">
        <v>1276</v>
      </c>
    </row>
    <row r="386" spans="1:4" x14ac:dyDescent="0.25">
      <c r="A386" t="s">
        <v>3671</v>
      </c>
      <c r="B386" t="s">
        <v>131</v>
      </c>
      <c r="C386" t="s">
        <v>2399</v>
      </c>
      <c r="D386" t="s">
        <v>1276</v>
      </c>
    </row>
    <row r="387" spans="1:4" x14ac:dyDescent="0.25">
      <c r="A387" t="s">
        <v>3672</v>
      </c>
      <c r="B387" t="s">
        <v>1276</v>
      </c>
      <c r="C387" t="s">
        <v>2359</v>
      </c>
      <c r="D387" t="s">
        <v>1322</v>
      </c>
    </row>
    <row r="388" spans="1:4" x14ac:dyDescent="0.25">
      <c r="A388" t="s">
        <v>3673</v>
      </c>
      <c r="B388" t="s">
        <v>131</v>
      </c>
      <c r="C388" t="s">
        <v>2399</v>
      </c>
      <c r="D388" t="s">
        <v>1322</v>
      </c>
    </row>
    <row r="389" spans="1:4" x14ac:dyDescent="0.25">
      <c r="A389" t="s">
        <v>3674</v>
      </c>
      <c r="B389" t="s">
        <v>1279</v>
      </c>
      <c r="C389" t="s">
        <v>2359</v>
      </c>
      <c r="D389" t="s">
        <v>1281</v>
      </c>
    </row>
    <row r="390" spans="1:4" x14ac:dyDescent="0.25">
      <c r="A390" t="s">
        <v>3675</v>
      </c>
      <c r="B390" t="s">
        <v>131</v>
      </c>
      <c r="C390" t="s">
        <v>2399</v>
      </c>
      <c r="D390" t="s">
        <v>1281</v>
      </c>
    </row>
    <row r="391" spans="1:4" x14ac:dyDescent="0.25">
      <c r="A391" t="s">
        <v>3676</v>
      </c>
      <c r="B391" t="s">
        <v>1280</v>
      </c>
      <c r="C391" t="s">
        <v>2357</v>
      </c>
      <c r="D391" t="s">
        <v>1281</v>
      </c>
    </row>
    <row r="392" spans="1:4" x14ac:dyDescent="0.25">
      <c r="A392" t="s">
        <v>3677</v>
      </c>
      <c r="B392" t="s">
        <v>1281</v>
      </c>
      <c r="C392" t="s">
        <v>2359</v>
      </c>
      <c r="D392" t="s">
        <v>3678</v>
      </c>
    </row>
    <row r="393" spans="1:4" x14ac:dyDescent="0.25">
      <c r="A393" t="s">
        <v>3679</v>
      </c>
      <c r="B393" t="s">
        <v>131</v>
      </c>
      <c r="C393" t="s">
        <v>2399</v>
      </c>
      <c r="D393" t="s">
        <v>3678</v>
      </c>
    </row>
    <row r="394" spans="1:4" x14ac:dyDescent="0.25">
      <c r="A394" t="s">
        <v>3680</v>
      </c>
      <c r="B394" t="s">
        <v>1280</v>
      </c>
      <c r="C394" t="s">
        <v>2357</v>
      </c>
      <c r="D394" t="s">
        <v>3678</v>
      </c>
    </row>
    <row r="395" spans="1:4" x14ac:dyDescent="0.25">
      <c r="A395" t="s">
        <v>3681</v>
      </c>
      <c r="B395" t="s">
        <v>912</v>
      </c>
      <c r="C395" t="s">
        <v>2359</v>
      </c>
      <c r="D395" t="s">
        <v>1285</v>
      </c>
    </row>
    <row r="396" spans="1:4" x14ac:dyDescent="0.25">
      <c r="A396" t="s">
        <v>3682</v>
      </c>
      <c r="B396" t="s">
        <v>131</v>
      </c>
      <c r="C396" t="s">
        <v>2399</v>
      </c>
      <c r="D396" t="s">
        <v>1285</v>
      </c>
    </row>
    <row r="397" spans="1:4" x14ac:dyDescent="0.25">
      <c r="A397" t="s">
        <v>3683</v>
      </c>
      <c r="B397" t="s">
        <v>1284</v>
      </c>
      <c r="C397" t="s">
        <v>2357</v>
      </c>
      <c r="D397" t="s">
        <v>1285</v>
      </c>
    </row>
    <row r="398" spans="1:4" x14ac:dyDescent="0.25">
      <c r="A398" t="s">
        <v>3684</v>
      </c>
      <c r="B398" t="s">
        <v>1285</v>
      </c>
      <c r="C398" t="s">
        <v>2359</v>
      </c>
      <c r="D398" t="s">
        <v>3685</v>
      </c>
    </row>
    <row r="399" spans="1:4" x14ac:dyDescent="0.25">
      <c r="A399" t="s">
        <v>3686</v>
      </c>
      <c r="B399" t="s">
        <v>131</v>
      </c>
      <c r="C399" t="s">
        <v>2399</v>
      </c>
      <c r="D399" t="s">
        <v>3685</v>
      </c>
    </row>
    <row r="400" spans="1:4" x14ac:dyDescent="0.25">
      <c r="A400" t="s">
        <v>3687</v>
      </c>
      <c r="B400" t="s">
        <v>1284</v>
      </c>
      <c r="C400" t="s">
        <v>2357</v>
      </c>
      <c r="D400" t="s">
        <v>3685</v>
      </c>
    </row>
    <row r="401" spans="1:4" x14ac:dyDescent="0.25">
      <c r="A401" t="s">
        <v>3688</v>
      </c>
      <c r="B401" t="s">
        <v>912</v>
      </c>
      <c r="C401" t="s">
        <v>2359</v>
      </c>
      <c r="D401" t="s">
        <v>1289</v>
      </c>
    </row>
    <row r="402" spans="1:4" x14ac:dyDescent="0.25">
      <c r="A402" t="s">
        <v>3689</v>
      </c>
      <c r="B402" t="s">
        <v>1279</v>
      </c>
      <c r="C402" t="s">
        <v>2399</v>
      </c>
      <c r="D402" t="s">
        <v>1289</v>
      </c>
    </row>
    <row r="403" spans="1:4" x14ac:dyDescent="0.25">
      <c r="A403" t="s">
        <v>3690</v>
      </c>
      <c r="B403" t="s">
        <v>1288</v>
      </c>
      <c r="C403" t="s">
        <v>2357</v>
      </c>
      <c r="D403" t="s">
        <v>1289</v>
      </c>
    </row>
    <row r="404" spans="1:4" x14ac:dyDescent="0.25">
      <c r="A404" t="s">
        <v>3691</v>
      </c>
      <c r="B404" t="s">
        <v>1289</v>
      </c>
      <c r="C404" t="s">
        <v>2359</v>
      </c>
      <c r="D404" t="s">
        <v>3692</v>
      </c>
    </row>
    <row r="405" spans="1:4" x14ac:dyDescent="0.25">
      <c r="A405" t="s">
        <v>3693</v>
      </c>
      <c r="B405" t="s">
        <v>1279</v>
      </c>
      <c r="C405" t="s">
        <v>2399</v>
      </c>
      <c r="D405" t="s">
        <v>3692</v>
      </c>
    </row>
    <row r="406" spans="1:4" x14ac:dyDescent="0.25">
      <c r="A406" t="s">
        <v>3694</v>
      </c>
      <c r="B406" t="s">
        <v>1288</v>
      </c>
      <c r="C406" t="s">
        <v>2357</v>
      </c>
      <c r="D406" t="s">
        <v>3692</v>
      </c>
    </row>
    <row r="407" spans="1:4" x14ac:dyDescent="0.25">
      <c r="A407" t="s">
        <v>3695</v>
      </c>
      <c r="B407" t="s">
        <v>903</v>
      </c>
      <c r="C407" t="s">
        <v>2359</v>
      </c>
      <c r="D407" t="s">
        <v>1294</v>
      </c>
    </row>
    <row r="408" spans="1:4" x14ac:dyDescent="0.25">
      <c r="A408" t="s">
        <v>3696</v>
      </c>
      <c r="B408" t="s">
        <v>131</v>
      </c>
      <c r="C408" t="s">
        <v>2399</v>
      </c>
      <c r="D408" t="s">
        <v>1294</v>
      </c>
    </row>
    <row r="409" spans="1:4" x14ac:dyDescent="0.25">
      <c r="A409" t="s">
        <v>3697</v>
      </c>
      <c r="B409" t="s">
        <v>1292</v>
      </c>
      <c r="C409" t="s">
        <v>2357</v>
      </c>
      <c r="D409" t="s">
        <v>1294</v>
      </c>
    </row>
    <row r="410" spans="1:4" x14ac:dyDescent="0.25">
      <c r="A410" t="s">
        <v>3698</v>
      </c>
      <c r="B410" t="s">
        <v>1294</v>
      </c>
      <c r="C410" t="s">
        <v>2359</v>
      </c>
      <c r="D410" t="s">
        <v>1296</v>
      </c>
    </row>
    <row r="411" spans="1:4" x14ac:dyDescent="0.25">
      <c r="A411" t="s">
        <v>3699</v>
      </c>
      <c r="B411" t="s">
        <v>131</v>
      </c>
      <c r="C411" t="s">
        <v>2399</v>
      </c>
      <c r="D411" t="s">
        <v>1296</v>
      </c>
    </row>
    <row r="412" spans="1:4" x14ac:dyDescent="0.25">
      <c r="A412" t="s">
        <v>3700</v>
      </c>
      <c r="B412" t="s">
        <v>1292</v>
      </c>
      <c r="C412" t="s">
        <v>2357</v>
      </c>
      <c r="D412" t="s">
        <v>1296</v>
      </c>
    </row>
    <row r="413" spans="1:4" x14ac:dyDescent="0.25">
      <c r="A413" t="s">
        <v>3701</v>
      </c>
      <c r="B413" t="s">
        <v>1296</v>
      </c>
      <c r="C413" t="s">
        <v>2359</v>
      </c>
      <c r="D413" t="s">
        <v>1298</v>
      </c>
    </row>
    <row r="414" spans="1:4" x14ac:dyDescent="0.25">
      <c r="A414" t="s">
        <v>3702</v>
      </c>
      <c r="B414" t="s">
        <v>131</v>
      </c>
      <c r="C414" t="s">
        <v>2399</v>
      </c>
      <c r="D414" t="s">
        <v>1298</v>
      </c>
    </row>
    <row r="415" spans="1:4" x14ac:dyDescent="0.25">
      <c r="A415" t="s">
        <v>3703</v>
      </c>
      <c r="B415" t="s">
        <v>1298</v>
      </c>
      <c r="C415" t="s">
        <v>2359</v>
      </c>
      <c r="D415" t="s">
        <v>1300</v>
      </c>
    </row>
    <row r="416" spans="1:4" x14ac:dyDescent="0.25">
      <c r="A416" t="s">
        <v>3704</v>
      </c>
      <c r="B416" t="s">
        <v>131</v>
      </c>
      <c r="C416" t="s">
        <v>2399</v>
      </c>
      <c r="D416" t="s">
        <v>1300</v>
      </c>
    </row>
    <row r="417" spans="1:4" x14ac:dyDescent="0.25">
      <c r="A417" t="s">
        <v>3705</v>
      </c>
      <c r="B417" t="s">
        <v>1300</v>
      </c>
      <c r="C417" t="s">
        <v>2359</v>
      </c>
      <c r="D417" t="s">
        <v>1302</v>
      </c>
    </row>
    <row r="418" spans="1:4" x14ac:dyDescent="0.25">
      <c r="A418" t="s">
        <v>3706</v>
      </c>
      <c r="B418" t="s">
        <v>131</v>
      </c>
      <c r="C418" t="s">
        <v>2399</v>
      </c>
      <c r="D418" t="s">
        <v>1302</v>
      </c>
    </row>
    <row r="419" spans="1:4" x14ac:dyDescent="0.25">
      <c r="A419" t="s">
        <v>3707</v>
      </c>
      <c r="B419" t="s">
        <v>1302</v>
      </c>
      <c r="C419" t="s">
        <v>2359</v>
      </c>
      <c r="D419" t="s">
        <v>1304</v>
      </c>
    </row>
    <row r="420" spans="1:4" x14ac:dyDescent="0.25">
      <c r="A420" t="s">
        <v>3708</v>
      </c>
      <c r="B420" t="s">
        <v>131</v>
      </c>
      <c r="C420" t="s">
        <v>2399</v>
      </c>
      <c r="D420" t="s">
        <v>1304</v>
      </c>
    </row>
    <row r="421" spans="1:4" x14ac:dyDescent="0.25">
      <c r="A421" t="s">
        <v>3709</v>
      </c>
      <c r="B421" t="s">
        <v>1304</v>
      </c>
      <c r="C421" t="s">
        <v>2359</v>
      </c>
      <c r="D421" t="s">
        <v>3710</v>
      </c>
    </row>
    <row r="422" spans="1:4" x14ac:dyDescent="0.25">
      <c r="A422" t="s">
        <v>3711</v>
      </c>
      <c r="B422" t="s">
        <v>131</v>
      </c>
      <c r="C422" t="s">
        <v>2399</v>
      </c>
      <c r="D422" t="s">
        <v>3710</v>
      </c>
    </row>
    <row r="423" spans="1:4" x14ac:dyDescent="0.25">
      <c r="A423" t="s">
        <v>3712</v>
      </c>
      <c r="B423" t="s">
        <v>1304</v>
      </c>
      <c r="C423" t="s">
        <v>2359</v>
      </c>
      <c r="D423" t="s">
        <v>3713</v>
      </c>
    </row>
    <row r="424" spans="1:4" x14ac:dyDescent="0.25">
      <c r="A424" t="s">
        <v>3714</v>
      </c>
      <c r="B424" t="s">
        <v>131</v>
      </c>
      <c r="C424" t="s">
        <v>2399</v>
      </c>
      <c r="D424" t="s">
        <v>3713</v>
      </c>
    </row>
    <row r="425" spans="1:4" x14ac:dyDescent="0.25">
      <c r="A425" t="s">
        <v>3715</v>
      </c>
      <c r="B425" t="s">
        <v>3710</v>
      </c>
      <c r="C425" t="s">
        <v>2366</v>
      </c>
      <c r="D425" t="s">
        <v>1279</v>
      </c>
    </row>
    <row r="426" spans="1:4" x14ac:dyDescent="0.25">
      <c r="A426" t="s">
        <v>3716</v>
      </c>
      <c r="B426" t="s">
        <v>3713</v>
      </c>
      <c r="C426" t="s">
        <v>2366</v>
      </c>
      <c r="D426" t="s">
        <v>1279</v>
      </c>
    </row>
    <row r="427" spans="1:4" x14ac:dyDescent="0.25">
      <c r="A427" t="s">
        <v>3717</v>
      </c>
      <c r="B427" t="s">
        <v>131</v>
      </c>
      <c r="C427" t="s">
        <v>2399</v>
      </c>
      <c r="D427" t="s">
        <v>1279</v>
      </c>
    </row>
    <row r="428" spans="1:4" x14ac:dyDescent="0.25">
      <c r="A428" t="s">
        <v>3718</v>
      </c>
      <c r="B428" t="s">
        <v>1309</v>
      </c>
      <c r="C428" t="s">
        <v>2359</v>
      </c>
      <c r="D428" t="s">
        <v>1311</v>
      </c>
    </row>
    <row r="429" spans="1:4" x14ac:dyDescent="0.25">
      <c r="A429" t="s">
        <v>3719</v>
      </c>
      <c r="B429" t="s">
        <v>1310</v>
      </c>
      <c r="C429" t="s">
        <v>2357</v>
      </c>
      <c r="D429" t="s">
        <v>1311</v>
      </c>
    </row>
    <row r="430" spans="1:4" x14ac:dyDescent="0.25">
      <c r="A430" t="s">
        <v>3720</v>
      </c>
      <c r="B430" t="s">
        <v>1311</v>
      </c>
      <c r="C430" t="s">
        <v>2359</v>
      </c>
      <c r="D430" t="s">
        <v>3721</v>
      </c>
    </row>
    <row r="431" spans="1:4" x14ac:dyDescent="0.25">
      <c r="A431" t="s">
        <v>3722</v>
      </c>
      <c r="B431" t="s">
        <v>1310</v>
      </c>
      <c r="C431" t="s">
        <v>2357</v>
      </c>
      <c r="D431" t="s">
        <v>3721</v>
      </c>
    </row>
    <row r="432" spans="1:4" x14ac:dyDescent="0.25">
      <c r="A432" t="s">
        <v>3723</v>
      </c>
      <c r="B432" t="s">
        <v>127</v>
      </c>
      <c r="C432" t="s">
        <v>2359</v>
      </c>
      <c r="D432" t="s">
        <v>1316</v>
      </c>
    </row>
    <row r="433" spans="1:4" x14ac:dyDescent="0.25">
      <c r="A433" t="s">
        <v>3724</v>
      </c>
      <c r="B433" t="s">
        <v>1314</v>
      </c>
      <c r="C433" t="s">
        <v>2357</v>
      </c>
      <c r="D433" t="s">
        <v>1316</v>
      </c>
    </row>
    <row r="434" spans="1:4" x14ac:dyDescent="0.25">
      <c r="A434" t="s">
        <v>3725</v>
      </c>
      <c r="B434" t="s">
        <v>1316</v>
      </c>
      <c r="C434" t="s">
        <v>2359</v>
      </c>
      <c r="D434" t="s">
        <v>3726</v>
      </c>
    </row>
    <row r="435" spans="1:4" x14ac:dyDescent="0.25">
      <c r="A435" t="s">
        <v>3727</v>
      </c>
      <c r="B435" t="s">
        <v>1314</v>
      </c>
      <c r="C435" t="s">
        <v>2357</v>
      </c>
      <c r="D435" t="s">
        <v>3726</v>
      </c>
    </row>
    <row r="436" spans="1:4" x14ac:dyDescent="0.25">
      <c r="A436" t="s">
        <v>3728</v>
      </c>
      <c r="B436" t="s">
        <v>1316</v>
      </c>
      <c r="C436" t="s">
        <v>2359</v>
      </c>
      <c r="D436" t="s">
        <v>3729</v>
      </c>
    </row>
    <row r="437" spans="1:4" x14ac:dyDescent="0.25">
      <c r="A437" t="s">
        <v>3730</v>
      </c>
      <c r="B437" t="s">
        <v>1314</v>
      </c>
      <c r="C437" t="s">
        <v>2357</v>
      </c>
      <c r="D437" t="s">
        <v>3729</v>
      </c>
    </row>
    <row r="438" spans="1:4" x14ac:dyDescent="0.25">
      <c r="A438" t="s">
        <v>3731</v>
      </c>
      <c r="B438" t="s">
        <v>1322</v>
      </c>
      <c r="C438" t="s">
        <v>2359</v>
      </c>
      <c r="D438" t="s">
        <v>1325</v>
      </c>
    </row>
    <row r="439" spans="1:4" x14ac:dyDescent="0.25">
      <c r="A439" t="s">
        <v>3732</v>
      </c>
      <c r="B439" t="s">
        <v>131</v>
      </c>
      <c r="C439" t="s">
        <v>2399</v>
      </c>
      <c r="D439" t="s">
        <v>1325</v>
      </c>
    </row>
    <row r="440" spans="1:4" x14ac:dyDescent="0.25">
      <c r="A440" t="s">
        <v>3733</v>
      </c>
      <c r="B440" t="s">
        <v>1323</v>
      </c>
      <c r="C440" t="s">
        <v>2357</v>
      </c>
      <c r="D440" t="s">
        <v>1325</v>
      </c>
    </row>
    <row r="441" spans="1:4" x14ac:dyDescent="0.25">
      <c r="A441" t="s">
        <v>3734</v>
      </c>
      <c r="B441" t="s">
        <v>1325</v>
      </c>
      <c r="C441" t="s">
        <v>2359</v>
      </c>
      <c r="D441" t="s">
        <v>1115</v>
      </c>
    </row>
    <row r="442" spans="1:4" x14ac:dyDescent="0.25">
      <c r="A442" t="s">
        <v>3735</v>
      </c>
      <c r="B442" t="s">
        <v>131</v>
      </c>
      <c r="C442" t="s">
        <v>2399</v>
      </c>
      <c r="D442" t="s">
        <v>1115</v>
      </c>
    </row>
    <row r="443" spans="1:4" x14ac:dyDescent="0.25">
      <c r="A443" t="s">
        <v>3736</v>
      </c>
      <c r="B443" t="s">
        <v>1323</v>
      </c>
      <c r="C443" t="s">
        <v>2357</v>
      </c>
      <c r="D443" t="s">
        <v>1115</v>
      </c>
    </row>
    <row r="444" spans="1:4" x14ac:dyDescent="0.25">
      <c r="A444" t="s">
        <v>3737</v>
      </c>
      <c r="B444" t="s">
        <v>1115</v>
      </c>
      <c r="C444" t="s">
        <v>2359</v>
      </c>
      <c r="D444" t="s">
        <v>3738</v>
      </c>
    </row>
    <row r="445" spans="1:4" x14ac:dyDescent="0.25">
      <c r="A445" t="s">
        <v>3739</v>
      </c>
      <c r="B445" t="s">
        <v>131</v>
      </c>
      <c r="C445" t="s">
        <v>2399</v>
      </c>
      <c r="D445" t="s">
        <v>3738</v>
      </c>
    </row>
    <row r="446" spans="1:4" x14ac:dyDescent="0.25">
      <c r="A446" t="s">
        <v>3740</v>
      </c>
      <c r="B446" t="s">
        <v>1329</v>
      </c>
      <c r="C446" t="s">
        <v>2359</v>
      </c>
      <c r="D446" t="s">
        <v>1331</v>
      </c>
    </row>
    <row r="447" spans="1:4" x14ac:dyDescent="0.25">
      <c r="A447" t="s">
        <v>3741</v>
      </c>
      <c r="B447" t="s">
        <v>1330</v>
      </c>
      <c r="C447" t="s">
        <v>2357</v>
      </c>
      <c r="D447" t="s">
        <v>1331</v>
      </c>
    </row>
    <row r="448" spans="1:4" x14ac:dyDescent="0.25">
      <c r="A448" t="s">
        <v>3742</v>
      </c>
      <c r="B448" t="s">
        <v>1331</v>
      </c>
      <c r="C448" t="s">
        <v>2359</v>
      </c>
      <c r="D448" t="s">
        <v>3743</v>
      </c>
    </row>
    <row r="449" spans="1:4" x14ac:dyDescent="0.25">
      <c r="A449" t="s">
        <v>3744</v>
      </c>
      <c r="B449" t="s">
        <v>1330</v>
      </c>
      <c r="C449" t="s">
        <v>2357</v>
      </c>
      <c r="D449" t="s">
        <v>3743</v>
      </c>
    </row>
    <row r="450" spans="1:4" x14ac:dyDescent="0.25">
      <c r="A450" t="s">
        <v>3745</v>
      </c>
      <c r="B450" t="s">
        <v>127</v>
      </c>
      <c r="C450" t="s">
        <v>2359</v>
      </c>
      <c r="D450" t="s">
        <v>1336</v>
      </c>
    </row>
    <row r="451" spans="1:4" x14ac:dyDescent="0.25">
      <c r="A451" t="s">
        <v>3746</v>
      </c>
      <c r="B451" t="s">
        <v>1334</v>
      </c>
      <c r="C451" t="s">
        <v>2357</v>
      </c>
      <c r="D451" t="s">
        <v>1336</v>
      </c>
    </row>
    <row r="452" spans="1:4" x14ac:dyDescent="0.25">
      <c r="A452" t="s">
        <v>3747</v>
      </c>
      <c r="B452" t="s">
        <v>1336</v>
      </c>
      <c r="C452" t="s">
        <v>2359</v>
      </c>
      <c r="D452" t="s">
        <v>1338</v>
      </c>
    </row>
    <row r="453" spans="1:4" x14ac:dyDescent="0.25">
      <c r="A453" t="s">
        <v>3748</v>
      </c>
      <c r="B453" t="s">
        <v>1334</v>
      </c>
      <c r="C453" t="s">
        <v>2357</v>
      </c>
      <c r="D453" t="s">
        <v>1338</v>
      </c>
    </row>
    <row r="454" spans="1:4" x14ac:dyDescent="0.25">
      <c r="A454" t="s">
        <v>3749</v>
      </c>
      <c r="B454" t="s">
        <v>1338</v>
      </c>
      <c r="C454" t="s">
        <v>2359</v>
      </c>
      <c r="D454" t="s">
        <v>1340</v>
      </c>
    </row>
    <row r="455" spans="1:4" x14ac:dyDescent="0.25">
      <c r="A455" t="s">
        <v>3750</v>
      </c>
      <c r="B455" t="s">
        <v>1340</v>
      </c>
      <c r="C455" t="s">
        <v>2359</v>
      </c>
      <c r="D455" t="s">
        <v>1342</v>
      </c>
    </row>
    <row r="456" spans="1:4" x14ac:dyDescent="0.25">
      <c r="A456" t="s">
        <v>3751</v>
      </c>
      <c r="B456" t="s">
        <v>1342</v>
      </c>
      <c r="C456" t="s">
        <v>2359</v>
      </c>
      <c r="D456" t="s">
        <v>1344</v>
      </c>
    </row>
    <row r="457" spans="1:4" x14ac:dyDescent="0.25">
      <c r="A457" t="s">
        <v>3752</v>
      </c>
      <c r="B457" t="s">
        <v>1344</v>
      </c>
      <c r="C457" t="s">
        <v>2359</v>
      </c>
      <c r="D457" t="s">
        <v>3753</v>
      </c>
    </row>
    <row r="458" spans="1:4" x14ac:dyDescent="0.25">
      <c r="A458" t="s">
        <v>3754</v>
      </c>
      <c r="B458" t="s">
        <v>127</v>
      </c>
      <c r="C458" t="s">
        <v>2359</v>
      </c>
      <c r="D458" t="s">
        <v>1349</v>
      </c>
    </row>
    <row r="459" spans="1:4" x14ac:dyDescent="0.25">
      <c r="A459" t="s">
        <v>3755</v>
      </c>
      <c r="B459" t="s">
        <v>1347</v>
      </c>
      <c r="C459" t="s">
        <v>2357</v>
      </c>
      <c r="D459" t="s">
        <v>1349</v>
      </c>
    </row>
    <row r="460" spans="1:4" x14ac:dyDescent="0.25">
      <c r="A460" t="s">
        <v>3756</v>
      </c>
      <c r="B460" t="s">
        <v>1349</v>
      </c>
      <c r="C460" t="s">
        <v>2359</v>
      </c>
      <c r="D460" t="s">
        <v>1240</v>
      </c>
    </row>
    <row r="461" spans="1:4" x14ac:dyDescent="0.25">
      <c r="A461" t="s">
        <v>3757</v>
      </c>
      <c r="B461" t="s">
        <v>1347</v>
      </c>
      <c r="C461" t="s">
        <v>2357</v>
      </c>
      <c r="D461" t="s">
        <v>1240</v>
      </c>
    </row>
    <row r="462" spans="1:4" x14ac:dyDescent="0.25">
      <c r="A462" t="s">
        <v>3758</v>
      </c>
      <c r="B462" t="s">
        <v>1240</v>
      </c>
      <c r="C462" t="s">
        <v>2359</v>
      </c>
      <c r="D462" t="s">
        <v>1352</v>
      </c>
    </row>
    <row r="463" spans="1:4" x14ac:dyDescent="0.25">
      <c r="A463" t="s">
        <v>3759</v>
      </c>
      <c r="B463" t="s">
        <v>1352</v>
      </c>
      <c r="C463" t="s">
        <v>2359</v>
      </c>
      <c r="D463" t="s">
        <v>3760</v>
      </c>
    </row>
    <row r="464" spans="1:4" x14ac:dyDescent="0.25">
      <c r="A464" t="s">
        <v>3761</v>
      </c>
      <c r="B464" t="s">
        <v>127</v>
      </c>
      <c r="C464" t="s">
        <v>2359</v>
      </c>
      <c r="D464" t="s">
        <v>1357</v>
      </c>
    </row>
    <row r="465" spans="1:4" x14ac:dyDescent="0.25">
      <c r="A465" t="s">
        <v>3762</v>
      </c>
      <c r="B465" t="s">
        <v>1355</v>
      </c>
      <c r="C465" t="s">
        <v>2357</v>
      </c>
      <c r="D465" t="s">
        <v>1357</v>
      </c>
    </row>
    <row r="466" spans="1:4" x14ac:dyDescent="0.25">
      <c r="A466" t="s">
        <v>3763</v>
      </c>
      <c r="B466" t="s">
        <v>1357</v>
      </c>
      <c r="C466" t="s">
        <v>2359</v>
      </c>
      <c r="D466" t="s">
        <v>1359</v>
      </c>
    </row>
    <row r="467" spans="1:4" x14ac:dyDescent="0.25">
      <c r="A467" t="s">
        <v>3764</v>
      </c>
      <c r="B467" t="s">
        <v>1355</v>
      </c>
      <c r="C467" t="s">
        <v>2357</v>
      </c>
      <c r="D467" t="s">
        <v>1359</v>
      </c>
    </row>
    <row r="468" spans="1:4" x14ac:dyDescent="0.25">
      <c r="A468" t="s">
        <v>3765</v>
      </c>
      <c r="B468" t="s">
        <v>1359</v>
      </c>
      <c r="C468" t="s">
        <v>2359</v>
      </c>
      <c r="D468" t="s">
        <v>1361</v>
      </c>
    </row>
    <row r="469" spans="1:4" x14ac:dyDescent="0.25">
      <c r="A469" t="s">
        <v>3766</v>
      </c>
      <c r="B469" t="s">
        <v>1361</v>
      </c>
      <c r="C469" t="s">
        <v>2359</v>
      </c>
      <c r="D469" t="s">
        <v>1362</v>
      </c>
    </row>
    <row r="470" spans="1:4" x14ac:dyDescent="0.25">
      <c r="A470" t="s">
        <v>3767</v>
      </c>
      <c r="B470" t="s">
        <v>1362</v>
      </c>
      <c r="C470" t="s">
        <v>2359</v>
      </c>
      <c r="D470" t="s">
        <v>3768</v>
      </c>
    </row>
    <row r="471" spans="1:4" x14ac:dyDescent="0.25">
      <c r="A471" t="s">
        <v>3769</v>
      </c>
      <c r="B471" t="s">
        <v>991</v>
      </c>
      <c r="C471" t="s">
        <v>2359</v>
      </c>
      <c r="D471" t="s">
        <v>1366</v>
      </c>
    </row>
    <row r="472" spans="1:4" x14ac:dyDescent="0.25">
      <c r="A472" t="s">
        <v>3770</v>
      </c>
      <c r="B472" t="s">
        <v>1365</v>
      </c>
      <c r="C472" t="s">
        <v>2357</v>
      </c>
      <c r="D472" t="s">
        <v>1366</v>
      </c>
    </row>
    <row r="473" spans="1:4" x14ac:dyDescent="0.25">
      <c r="A473" t="s">
        <v>3771</v>
      </c>
      <c r="B473" t="s">
        <v>1366</v>
      </c>
      <c r="C473" t="s">
        <v>2359</v>
      </c>
      <c r="D473" t="s">
        <v>3772</v>
      </c>
    </row>
    <row r="474" spans="1:4" x14ac:dyDescent="0.25">
      <c r="A474" t="s">
        <v>3773</v>
      </c>
      <c r="B474" t="s">
        <v>1365</v>
      </c>
      <c r="C474" t="s">
        <v>2357</v>
      </c>
      <c r="D474" t="s">
        <v>3772</v>
      </c>
    </row>
    <row r="475" spans="1:4" x14ac:dyDescent="0.25">
      <c r="A475" t="s">
        <v>3774</v>
      </c>
      <c r="B475" t="s">
        <v>127</v>
      </c>
      <c r="C475" t="s">
        <v>2359</v>
      </c>
      <c r="D475" t="s">
        <v>1370</v>
      </c>
    </row>
    <row r="476" spans="1:4" x14ac:dyDescent="0.25">
      <c r="A476" t="s">
        <v>3775</v>
      </c>
      <c r="B476" t="s">
        <v>1369</v>
      </c>
      <c r="C476" t="s">
        <v>2357</v>
      </c>
      <c r="D476" t="s">
        <v>1370</v>
      </c>
    </row>
    <row r="477" spans="1:4" x14ac:dyDescent="0.25">
      <c r="A477" t="s">
        <v>3776</v>
      </c>
      <c r="B477" t="s">
        <v>1370</v>
      </c>
      <c r="C477" t="s">
        <v>2359</v>
      </c>
      <c r="D477" t="s">
        <v>3777</v>
      </c>
    </row>
    <row r="478" spans="1:4" x14ac:dyDescent="0.25">
      <c r="A478" t="s">
        <v>3778</v>
      </c>
      <c r="B478" t="s">
        <v>1369</v>
      </c>
      <c r="C478" t="s">
        <v>2357</v>
      </c>
      <c r="D478" t="s">
        <v>3777</v>
      </c>
    </row>
    <row r="479" spans="1:4" x14ac:dyDescent="0.25">
      <c r="A479" t="s">
        <v>3779</v>
      </c>
      <c r="B479" t="s">
        <v>127</v>
      </c>
      <c r="C479" t="s">
        <v>2359</v>
      </c>
      <c r="D479" t="s">
        <v>1374</v>
      </c>
    </row>
    <row r="480" spans="1:4" x14ac:dyDescent="0.25">
      <c r="A480" t="s">
        <v>3780</v>
      </c>
      <c r="B480" t="s">
        <v>1373</v>
      </c>
      <c r="C480" t="s">
        <v>2357</v>
      </c>
      <c r="D480" t="s">
        <v>1374</v>
      </c>
    </row>
    <row r="481" spans="1:4" x14ac:dyDescent="0.25">
      <c r="A481" t="s">
        <v>3781</v>
      </c>
      <c r="B481" t="s">
        <v>1374</v>
      </c>
      <c r="C481" t="s">
        <v>2359</v>
      </c>
      <c r="D481" t="s">
        <v>3782</v>
      </c>
    </row>
    <row r="482" spans="1:4" x14ac:dyDescent="0.25">
      <c r="A482" t="s">
        <v>3783</v>
      </c>
      <c r="B482" t="s">
        <v>1373</v>
      </c>
      <c r="C482" t="s">
        <v>2357</v>
      </c>
      <c r="D482" t="s">
        <v>3782</v>
      </c>
    </row>
    <row r="483" spans="1:4" x14ac:dyDescent="0.25">
      <c r="A483" t="s">
        <v>3784</v>
      </c>
      <c r="B483" t="s">
        <v>127</v>
      </c>
      <c r="C483" t="s">
        <v>2359</v>
      </c>
      <c r="D483" t="s">
        <v>1379</v>
      </c>
    </row>
    <row r="484" spans="1:4" x14ac:dyDescent="0.25">
      <c r="A484" t="s">
        <v>3785</v>
      </c>
      <c r="B484" t="s">
        <v>1377</v>
      </c>
      <c r="C484" t="s">
        <v>2357</v>
      </c>
      <c r="D484" t="s">
        <v>1379</v>
      </c>
    </row>
    <row r="485" spans="1:4" x14ac:dyDescent="0.25">
      <c r="A485" t="s">
        <v>3786</v>
      </c>
      <c r="B485" t="s">
        <v>1379</v>
      </c>
      <c r="C485" t="s">
        <v>2359</v>
      </c>
      <c r="D485" t="s">
        <v>3787</v>
      </c>
    </row>
    <row r="486" spans="1:4" x14ac:dyDescent="0.25">
      <c r="A486" t="s">
        <v>3788</v>
      </c>
      <c r="B486" t="s">
        <v>1377</v>
      </c>
      <c r="C486" t="s">
        <v>2357</v>
      </c>
      <c r="D486" t="s">
        <v>3787</v>
      </c>
    </row>
    <row r="487" spans="1:4" x14ac:dyDescent="0.25">
      <c r="A487" t="s">
        <v>3789</v>
      </c>
      <c r="B487" t="s">
        <v>1379</v>
      </c>
      <c r="C487" t="s">
        <v>2359</v>
      </c>
      <c r="D487" t="s">
        <v>3790</v>
      </c>
    </row>
    <row r="488" spans="1:4" x14ac:dyDescent="0.25">
      <c r="A488" t="s">
        <v>3791</v>
      </c>
      <c r="B488" t="s">
        <v>1377</v>
      </c>
      <c r="C488" t="s">
        <v>2357</v>
      </c>
      <c r="D488" t="s">
        <v>3790</v>
      </c>
    </row>
    <row r="489" spans="1:4" x14ac:dyDescent="0.25">
      <c r="A489" t="s">
        <v>3792</v>
      </c>
      <c r="B489" t="s">
        <v>3787</v>
      </c>
      <c r="C489" t="s">
        <v>2366</v>
      </c>
      <c r="D489" t="s">
        <v>1309</v>
      </c>
    </row>
    <row r="490" spans="1:4" x14ac:dyDescent="0.25">
      <c r="A490" t="s">
        <v>3793</v>
      </c>
      <c r="B490" t="s">
        <v>3790</v>
      </c>
      <c r="C490" t="s">
        <v>2366</v>
      </c>
      <c r="D490" t="s">
        <v>1309</v>
      </c>
    </row>
    <row r="491" spans="1:4" x14ac:dyDescent="0.25">
      <c r="A491" t="s">
        <v>3794</v>
      </c>
      <c r="B491" t="s">
        <v>127</v>
      </c>
      <c r="C491" t="s">
        <v>2359</v>
      </c>
      <c r="D491" t="s">
        <v>1384</v>
      </c>
    </row>
    <row r="492" spans="1:4" x14ac:dyDescent="0.25">
      <c r="A492" t="s">
        <v>3795</v>
      </c>
      <c r="B492" t="s">
        <v>1383</v>
      </c>
      <c r="C492" t="s">
        <v>2357</v>
      </c>
      <c r="D492" t="s">
        <v>1384</v>
      </c>
    </row>
    <row r="493" spans="1:4" x14ac:dyDescent="0.25">
      <c r="A493" t="s">
        <v>3796</v>
      </c>
      <c r="B493" t="s">
        <v>1384</v>
      </c>
      <c r="C493" t="s">
        <v>2359</v>
      </c>
      <c r="D493" t="s">
        <v>3797</v>
      </c>
    </row>
    <row r="494" spans="1:4" x14ac:dyDescent="0.25">
      <c r="A494" t="s">
        <v>3798</v>
      </c>
      <c r="B494" t="s">
        <v>1383</v>
      </c>
      <c r="C494" t="s">
        <v>2357</v>
      </c>
      <c r="D494" t="s">
        <v>3797</v>
      </c>
    </row>
    <row r="495" spans="1:4" x14ac:dyDescent="0.25">
      <c r="A495" t="s">
        <v>3799</v>
      </c>
      <c r="B495" t="s">
        <v>127</v>
      </c>
      <c r="C495" t="s">
        <v>2359</v>
      </c>
      <c r="D495" t="s">
        <v>1388</v>
      </c>
    </row>
    <row r="496" spans="1:4" x14ac:dyDescent="0.25">
      <c r="A496" t="s">
        <v>3800</v>
      </c>
      <c r="B496" t="s">
        <v>1387</v>
      </c>
      <c r="C496" t="s">
        <v>2357</v>
      </c>
      <c r="D496" t="s">
        <v>1388</v>
      </c>
    </row>
    <row r="497" spans="1:4" x14ac:dyDescent="0.25">
      <c r="A497" t="s">
        <v>3801</v>
      </c>
      <c r="B497" t="s">
        <v>1388</v>
      </c>
      <c r="C497" t="s">
        <v>2359</v>
      </c>
      <c r="D497" t="s">
        <v>3802</v>
      </c>
    </row>
    <row r="498" spans="1:4" x14ac:dyDescent="0.25">
      <c r="A498" t="s">
        <v>3803</v>
      </c>
      <c r="B498" t="s">
        <v>1387</v>
      </c>
      <c r="C498" t="s">
        <v>2357</v>
      </c>
      <c r="D498" t="s">
        <v>3802</v>
      </c>
    </row>
    <row r="499" spans="1:4" x14ac:dyDescent="0.25">
      <c r="A499" t="s">
        <v>3804</v>
      </c>
      <c r="B499" t="s">
        <v>127</v>
      </c>
      <c r="C499" t="s">
        <v>2359</v>
      </c>
      <c r="D499" t="s">
        <v>1392</v>
      </c>
    </row>
    <row r="500" spans="1:4" x14ac:dyDescent="0.25">
      <c r="A500" t="s">
        <v>3805</v>
      </c>
      <c r="B500" t="s">
        <v>1391</v>
      </c>
      <c r="C500" t="s">
        <v>2357</v>
      </c>
      <c r="D500" t="s">
        <v>1392</v>
      </c>
    </row>
    <row r="501" spans="1:4" x14ac:dyDescent="0.25">
      <c r="A501" t="s">
        <v>3806</v>
      </c>
      <c r="B501" t="s">
        <v>1392</v>
      </c>
      <c r="C501" t="s">
        <v>2359</v>
      </c>
      <c r="D501" t="s">
        <v>3807</v>
      </c>
    </row>
    <row r="502" spans="1:4" x14ac:dyDescent="0.25">
      <c r="A502" t="s">
        <v>3808</v>
      </c>
      <c r="B502" t="s">
        <v>1391</v>
      </c>
      <c r="C502" t="s">
        <v>2357</v>
      </c>
      <c r="D502" t="s">
        <v>3807</v>
      </c>
    </row>
    <row r="503" spans="1:4" x14ac:dyDescent="0.25">
      <c r="A503" t="s">
        <v>3809</v>
      </c>
      <c r="B503" t="s">
        <v>127</v>
      </c>
      <c r="C503" t="s">
        <v>2359</v>
      </c>
      <c r="D503" t="s">
        <v>1396</v>
      </c>
    </row>
    <row r="504" spans="1:4" x14ac:dyDescent="0.25">
      <c r="A504" t="s">
        <v>3810</v>
      </c>
      <c r="B504" t="s">
        <v>1395</v>
      </c>
      <c r="C504" t="s">
        <v>2357</v>
      </c>
      <c r="D504" t="s">
        <v>1396</v>
      </c>
    </row>
    <row r="505" spans="1:4" x14ac:dyDescent="0.25">
      <c r="A505" t="s">
        <v>3811</v>
      </c>
      <c r="B505" t="s">
        <v>1396</v>
      </c>
      <c r="C505" t="s">
        <v>2359</v>
      </c>
      <c r="D505" t="s">
        <v>3812</v>
      </c>
    </row>
    <row r="506" spans="1:4" x14ac:dyDescent="0.25">
      <c r="A506" t="s">
        <v>3813</v>
      </c>
      <c r="B506" t="s">
        <v>1395</v>
      </c>
      <c r="C506" t="s">
        <v>2357</v>
      </c>
      <c r="D506" t="s">
        <v>3812</v>
      </c>
    </row>
    <row r="507" spans="1:4" x14ac:dyDescent="0.25">
      <c r="A507" t="s">
        <v>3814</v>
      </c>
      <c r="B507" t="s">
        <v>127</v>
      </c>
      <c r="C507" t="s">
        <v>2359</v>
      </c>
      <c r="D507" t="s">
        <v>1400</v>
      </c>
    </row>
    <row r="508" spans="1:4" x14ac:dyDescent="0.25">
      <c r="A508" t="s">
        <v>3815</v>
      </c>
      <c r="B508" t="s">
        <v>1399</v>
      </c>
      <c r="C508" t="s">
        <v>2357</v>
      </c>
      <c r="D508" t="s">
        <v>1400</v>
      </c>
    </row>
    <row r="509" spans="1:4" x14ac:dyDescent="0.25">
      <c r="A509" t="s">
        <v>3816</v>
      </c>
      <c r="B509" t="s">
        <v>1400</v>
      </c>
      <c r="C509" t="s">
        <v>2359</v>
      </c>
      <c r="D509" t="s">
        <v>3817</v>
      </c>
    </row>
    <row r="510" spans="1:4" x14ac:dyDescent="0.25">
      <c r="A510" t="s">
        <v>3818</v>
      </c>
      <c r="B510" t="s">
        <v>1399</v>
      </c>
      <c r="C510" t="s">
        <v>2357</v>
      </c>
      <c r="D510" t="s">
        <v>3817</v>
      </c>
    </row>
    <row r="511" spans="1:4" x14ac:dyDescent="0.25">
      <c r="A511" t="s">
        <v>3819</v>
      </c>
      <c r="B511" t="s">
        <v>824</v>
      </c>
      <c r="C511" t="s">
        <v>2475</v>
      </c>
      <c r="D511" t="s">
        <v>826</v>
      </c>
    </row>
    <row r="512" spans="1:4" x14ac:dyDescent="0.25">
      <c r="A512" t="s">
        <v>3820</v>
      </c>
      <c r="B512" t="s">
        <v>824</v>
      </c>
      <c r="C512" t="s">
        <v>2475</v>
      </c>
      <c r="D512" t="s">
        <v>828</v>
      </c>
    </row>
    <row r="513" spans="1:4" x14ac:dyDescent="0.25">
      <c r="A513" t="s">
        <v>3821</v>
      </c>
      <c r="B513" t="s">
        <v>826</v>
      </c>
      <c r="C513" t="s">
        <v>2475</v>
      </c>
      <c r="D513" t="s">
        <v>828</v>
      </c>
    </row>
    <row r="514" spans="1:4" x14ac:dyDescent="0.25">
      <c r="A514" t="s">
        <v>3822</v>
      </c>
      <c r="B514" t="s">
        <v>839</v>
      </c>
      <c r="C514" t="s">
        <v>2475</v>
      </c>
      <c r="D514" t="s">
        <v>841</v>
      </c>
    </row>
    <row r="515" spans="1:4" x14ac:dyDescent="0.25">
      <c r="A515" t="s">
        <v>3823</v>
      </c>
      <c r="B515" t="s">
        <v>856</v>
      </c>
      <c r="C515" t="s">
        <v>2475</v>
      </c>
      <c r="D515" t="s">
        <v>858</v>
      </c>
    </row>
    <row r="516" spans="1:4" x14ac:dyDescent="0.25">
      <c r="A516" t="s">
        <v>3824</v>
      </c>
      <c r="B516" t="s">
        <v>877</v>
      </c>
      <c r="C516" t="s">
        <v>2475</v>
      </c>
      <c r="D516" t="s">
        <v>879</v>
      </c>
    </row>
    <row r="517" spans="1:4" x14ac:dyDescent="0.25">
      <c r="A517" t="s">
        <v>3825</v>
      </c>
      <c r="B517" t="s">
        <v>914</v>
      </c>
      <c r="C517" t="s">
        <v>2475</v>
      </c>
      <c r="D517" t="s">
        <v>919</v>
      </c>
    </row>
    <row r="518" spans="1:4" x14ac:dyDescent="0.25">
      <c r="A518" t="s">
        <v>3826</v>
      </c>
      <c r="B518" t="s">
        <v>950</v>
      </c>
      <c r="C518" t="s">
        <v>2475</v>
      </c>
      <c r="D518" t="s">
        <v>952</v>
      </c>
    </row>
    <row r="519" spans="1:4" x14ac:dyDescent="0.25">
      <c r="A519" t="s">
        <v>3827</v>
      </c>
      <c r="B519" t="s">
        <v>1053</v>
      </c>
      <c r="C519" t="s">
        <v>2475</v>
      </c>
      <c r="D519" t="s">
        <v>1055</v>
      </c>
    </row>
    <row r="520" spans="1:4" x14ac:dyDescent="0.25">
      <c r="A520" t="s">
        <v>3828</v>
      </c>
      <c r="B520" t="s">
        <v>1078</v>
      </c>
      <c r="C520" t="s">
        <v>2475</v>
      </c>
      <c r="D520" t="s">
        <v>1080</v>
      </c>
    </row>
    <row r="521" spans="1:4" x14ac:dyDescent="0.25">
      <c r="A521" t="s">
        <v>3829</v>
      </c>
      <c r="B521" t="s">
        <v>1093</v>
      </c>
      <c r="C521" t="s">
        <v>2475</v>
      </c>
      <c r="D521" t="s">
        <v>1094</v>
      </c>
    </row>
    <row r="522" spans="1:4" x14ac:dyDescent="0.25">
      <c r="A522" t="s">
        <v>3830</v>
      </c>
      <c r="B522" t="s">
        <v>1109</v>
      </c>
      <c r="C522" t="s">
        <v>2475</v>
      </c>
      <c r="D522" t="s">
        <v>1111</v>
      </c>
    </row>
    <row r="523" spans="1:4" x14ac:dyDescent="0.25">
      <c r="A523" t="s">
        <v>3831</v>
      </c>
      <c r="B523" t="s">
        <v>1133</v>
      </c>
      <c r="C523" t="s">
        <v>2475</v>
      </c>
      <c r="D523" t="s">
        <v>1135</v>
      </c>
    </row>
    <row r="524" spans="1:4" x14ac:dyDescent="0.25">
      <c r="A524" t="s">
        <v>3832</v>
      </c>
      <c r="B524" t="s">
        <v>1158</v>
      </c>
      <c r="C524" t="s">
        <v>2475</v>
      </c>
      <c r="D524" t="s">
        <v>1160</v>
      </c>
    </row>
    <row r="525" spans="1:4" x14ac:dyDescent="0.25">
      <c r="A525" t="s">
        <v>3833</v>
      </c>
      <c r="B525" t="s">
        <v>1158</v>
      </c>
      <c r="C525" t="s">
        <v>2475</v>
      </c>
      <c r="D525" t="s">
        <v>1162</v>
      </c>
    </row>
    <row r="526" spans="1:4" x14ac:dyDescent="0.25">
      <c r="A526" t="s">
        <v>3834</v>
      </c>
      <c r="B526" t="s">
        <v>1160</v>
      </c>
      <c r="C526" t="s">
        <v>2475</v>
      </c>
      <c r="D526" t="s">
        <v>1162</v>
      </c>
    </row>
    <row r="527" spans="1:4" x14ac:dyDescent="0.25">
      <c r="A527" t="s">
        <v>3835</v>
      </c>
      <c r="B527" t="s">
        <v>1198</v>
      </c>
      <c r="C527" t="s">
        <v>2475</v>
      </c>
      <c r="D527" t="s">
        <v>1200</v>
      </c>
    </row>
    <row r="528" spans="1:4" x14ac:dyDescent="0.25">
      <c r="A528" t="s">
        <v>3836</v>
      </c>
      <c r="B528" t="s">
        <v>1317</v>
      </c>
      <c r="C528" t="s">
        <v>2475</v>
      </c>
      <c r="D528" t="s">
        <v>1319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90"/>
  <sheetViews>
    <sheetView tabSelected="1" topLeftCell="A355" workbookViewId="0">
      <selection activeCell="F393" sqref="F393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22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3837</v>
      </c>
      <c r="B2" t="s">
        <v>127</v>
      </c>
      <c r="C2" t="s">
        <v>2359</v>
      </c>
      <c r="D2" t="s">
        <v>1405</v>
      </c>
    </row>
    <row r="3" spans="1:4" x14ac:dyDescent="0.25">
      <c r="A3" t="s">
        <v>3838</v>
      </c>
      <c r="B3" t="s">
        <v>1403</v>
      </c>
      <c r="C3" t="s">
        <v>2357</v>
      </c>
      <c r="D3" t="s">
        <v>1405</v>
      </c>
    </row>
    <row r="4" spans="1:4" x14ac:dyDescent="0.25">
      <c r="A4" t="s">
        <v>3839</v>
      </c>
      <c r="B4" t="s">
        <v>1405</v>
      </c>
      <c r="C4" t="s">
        <v>2359</v>
      </c>
      <c r="D4" t="s">
        <v>1408</v>
      </c>
    </row>
    <row r="5" spans="1:4" x14ac:dyDescent="0.25">
      <c r="A5" t="s">
        <v>3840</v>
      </c>
      <c r="B5" t="s">
        <v>1403</v>
      </c>
      <c r="C5" t="s">
        <v>2357</v>
      </c>
      <c r="D5" t="s">
        <v>1408</v>
      </c>
    </row>
    <row r="6" spans="1:4" x14ac:dyDescent="0.25">
      <c r="A6" t="s">
        <v>3841</v>
      </c>
      <c r="B6" t="s">
        <v>1408</v>
      </c>
      <c r="C6" t="s">
        <v>2359</v>
      </c>
      <c r="D6" t="s">
        <v>1409</v>
      </c>
    </row>
    <row r="7" spans="1:4" x14ac:dyDescent="0.25">
      <c r="A7" t="s">
        <v>3842</v>
      </c>
      <c r="B7" t="s">
        <v>1409</v>
      </c>
      <c r="C7" t="s">
        <v>2359</v>
      </c>
      <c r="D7" t="s">
        <v>1412</v>
      </c>
    </row>
    <row r="8" spans="1:4" x14ac:dyDescent="0.25">
      <c r="A8" t="s">
        <v>3843</v>
      </c>
      <c r="B8" t="s">
        <v>1412</v>
      </c>
      <c r="C8" t="s">
        <v>2359</v>
      </c>
      <c r="D8" t="s">
        <v>1415</v>
      </c>
    </row>
    <row r="9" spans="1:4" x14ac:dyDescent="0.25">
      <c r="A9" t="s">
        <v>3844</v>
      </c>
      <c r="B9" t="s">
        <v>1413</v>
      </c>
      <c r="C9" t="s">
        <v>2357</v>
      </c>
      <c r="D9" t="s">
        <v>1415</v>
      </c>
    </row>
    <row r="10" spans="1:4" x14ac:dyDescent="0.25">
      <c r="A10" t="s">
        <v>3845</v>
      </c>
      <c r="B10" t="s">
        <v>1415</v>
      </c>
      <c r="C10" t="s">
        <v>2359</v>
      </c>
      <c r="D10" t="s">
        <v>1417</v>
      </c>
    </row>
    <row r="11" spans="1:4" x14ac:dyDescent="0.25">
      <c r="A11" t="s">
        <v>3846</v>
      </c>
      <c r="B11" t="s">
        <v>1413</v>
      </c>
      <c r="C11" t="s">
        <v>2357</v>
      </c>
      <c r="D11" t="s">
        <v>1417</v>
      </c>
    </row>
    <row r="12" spans="1:4" x14ac:dyDescent="0.25">
      <c r="A12" t="s">
        <v>3847</v>
      </c>
      <c r="B12" t="s">
        <v>1417</v>
      </c>
      <c r="C12" t="s">
        <v>2359</v>
      </c>
      <c r="D12" t="s">
        <v>1419</v>
      </c>
    </row>
    <row r="13" spans="1:4" x14ac:dyDescent="0.25">
      <c r="A13" t="s">
        <v>3848</v>
      </c>
      <c r="B13" t="s">
        <v>1419</v>
      </c>
      <c r="C13" t="s">
        <v>2359</v>
      </c>
      <c r="D13" t="s">
        <v>1420</v>
      </c>
    </row>
    <row r="14" spans="1:4" x14ac:dyDescent="0.25">
      <c r="A14" t="s">
        <v>3849</v>
      </c>
      <c r="B14" t="s">
        <v>1420</v>
      </c>
      <c r="C14" t="s">
        <v>2359</v>
      </c>
      <c r="D14" t="s">
        <v>1423</v>
      </c>
    </row>
    <row r="15" spans="1:4" x14ac:dyDescent="0.25">
      <c r="A15" t="s">
        <v>3850</v>
      </c>
      <c r="B15" t="s">
        <v>1423</v>
      </c>
      <c r="C15" t="s">
        <v>2359</v>
      </c>
      <c r="D15" t="s">
        <v>1425</v>
      </c>
    </row>
    <row r="16" spans="1:4" x14ac:dyDescent="0.25">
      <c r="A16" t="s">
        <v>3851</v>
      </c>
      <c r="B16" t="s">
        <v>1424</v>
      </c>
      <c r="C16" t="s">
        <v>2357</v>
      </c>
      <c r="D16" t="s">
        <v>1425</v>
      </c>
    </row>
    <row r="17" spans="1:4" x14ac:dyDescent="0.25">
      <c r="A17" t="s">
        <v>3852</v>
      </c>
      <c r="B17" t="s">
        <v>1425</v>
      </c>
      <c r="C17" t="s">
        <v>2359</v>
      </c>
      <c r="D17" t="s">
        <v>1429</v>
      </c>
    </row>
    <row r="18" spans="1:4" x14ac:dyDescent="0.25">
      <c r="A18" t="s">
        <v>3853</v>
      </c>
      <c r="B18" t="s">
        <v>1424</v>
      </c>
      <c r="C18" t="s">
        <v>2357</v>
      </c>
      <c r="D18" t="s">
        <v>1429</v>
      </c>
    </row>
    <row r="19" spans="1:4" x14ac:dyDescent="0.25">
      <c r="A19" t="s">
        <v>3854</v>
      </c>
      <c r="B19" t="s">
        <v>1429</v>
      </c>
      <c r="C19" t="s">
        <v>2359</v>
      </c>
      <c r="D19" t="s">
        <v>1431</v>
      </c>
    </row>
    <row r="20" spans="1:4" x14ac:dyDescent="0.25">
      <c r="A20" t="s">
        <v>3855</v>
      </c>
      <c r="B20" t="s">
        <v>1430</v>
      </c>
      <c r="C20" t="s">
        <v>2357</v>
      </c>
      <c r="D20" t="s">
        <v>1431</v>
      </c>
    </row>
    <row r="21" spans="1:4" x14ac:dyDescent="0.25">
      <c r="A21" t="s">
        <v>3856</v>
      </c>
      <c r="B21" t="s">
        <v>1431</v>
      </c>
      <c r="C21" t="s">
        <v>2359</v>
      </c>
      <c r="D21" t="s">
        <v>1434</v>
      </c>
    </row>
    <row r="22" spans="1:4" x14ac:dyDescent="0.25">
      <c r="A22" t="s">
        <v>3857</v>
      </c>
      <c r="B22" t="s">
        <v>1430</v>
      </c>
      <c r="C22" t="s">
        <v>2357</v>
      </c>
      <c r="D22" t="s">
        <v>1434</v>
      </c>
    </row>
    <row r="23" spans="1:4" x14ac:dyDescent="0.25">
      <c r="A23" t="s">
        <v>3858</v>
      </c>
      <c r="B23" t="s">
        <v>1434</v>
      </c>
      <c r="C23" t="s">
        <v>2359</v>
      </c>
      <c r="D23" t="s">
        <v>1436</v>
      </c>
    </row>
    <row r="24" spans="1:4" x14ac:dyDescent="0.25">
      <c r="A24" t="s">
        <v>3859</v>
      </c>
      <c r="B24" t="s">
        <v>1435</v>
      </c>
      <c r="C24" t="s">
        <v>2357</v>
      </c>
      <c r="D24" t="s">
        <v>1436</v>
      </c>
    </row>
    <row r="25" spans="1:4" x14ac:dyDescent="0.25">
      <c r="A25" t="s">
        <v>3860</v>
      </c>
      <c r="B25" t="s">
        <v>1436</v>
      </c>
      <c r="C25" t="s">
        <v>2359</v>
      </c>
      <c r="D25" t="s">
        <v>1439</v>
      </c>
    </row>
    <row r="26" spans="1:4" x14ac:dyDescent="0.25">
      <c r="A26" t="s">
        <v>3861</v>
      </c>
      <c r="B26" t="s">
        <v>1435</v>
      </c>
      <c r="C26" t="s">
        <v>2357</v>
      </c>
      <c r="D26" t="s">
        <v>1439</v>
      </c>
    </row>
    <row r="27" spans="1:4" x14ac:dyDescent="0.25">
      <c r="A27" t="s">
        <v>3862</v>
      </c>
      <c r="B27" t="s">
        <v>1439</v>
      </c>
      <c r="C27" t="s">
        <v>2359</v>
      </c>
      <c r="D27" t="s">
        <v>1441</v>
      </c>
    </row>
    <row r="28" spans="1:4" x14ac:dyDescent="0.25">
      <c r="A28" t="s">
        <v>3863</v>
      </c>
      <c r="B28" t="s">
        <v>1440</v>
      </c>
      <c r="C28" t="s">
        <v>2357</v>
      </c>
      <c r="D28" t="s">
        <v>1441</v>
      </c>
    </row>
    <row r="29" spans="1:4" x14ac:dyDescent="0.25">
      <c r="A29" t="s">
        <v>3864</v>
      </c>
      <c r="B29" t="s">
        <v>1441</v>
      </c>
      <c r="C29" t="s">
        <v>2359</v>
      </c>
      <c r="D29" t="s">
        <v>1444</v>
      </c>
    </row>
    <row r="30" spans="1:4" x14ac:dyDescent="0.25">
      <c r="A30" t="s">
        <v>3865</v>
      </c>
      <c r="B30" t="s">
        <v>1440</v>
      </c>
      <c r="C30" t="s">
        <v>2357</v>
      </c>
      <c r="D30" t="s">
        <v>1444</v>
      </c>
    </row>
    <row r="31" spans="1:4" x14ac:dyDescent="0.25">
      <c r="A31" t="s">
        <v>3866</v>
      </c>
      <c r="B31" t="s">
        <v>1444</v>
      </c>
      <c r="C31" t="s">
        <v>2359</v>
      </c>
      <c r="D31" t="s">
        <v>1446</v>
      </c>
    </row>
    <row r="32" spans="1:4" x14ac:dyDescent="0.25">
      <c r="A32" t="s">
        <v>3867</v>
      </c>
      <c r="B32" t="s">
        <v>1445</v>
      </c>
      <c r="C32" t="s">
        <v>2357</v>
      </c>
      <c r="D32" t="s">
        <v>1446</v>
      </c>
    </row>
    <row r="33" spans="1:4" x14ac:dyDescent="0.25">
      <c r="A33" t="s">
        <v>3868</v>
      </c>
      <c r="B33" t="s">
        <v>1446</v>
      </c>
      <c r="C33" t="s">
        <v>2359</v>
      </c>
      <c r="D33" t="s">
        <v>1449</v>
      </c>
    </row>
    <row r="34" spans="1:4" x14ac:dyDescent="0.25">
      <c r="A34" t="s">
        <v>3869</v>
      </c>
      <c r="B34" t="s">
        <v>1445</v>
      </c>
      <c r="C34" t="s">
        <v>2357</v>
      </c>
      <c r="D34" t="s">
        <v>1449</v>
      </c>
    </row>
    <row r="35" spans="1:4" x14ac:dyDescent="0.25">
      <c r="A35" t="s">
        <v>3870</v>
      </c>
      <c r="B35" t="s">
        <v>1449</v>
      </c>
      <c r="C35" t="s">
        <v>2359</v>
      </c>
      <c r="D35" t="s">
        <v>1452</v>
      </c>
    </row>
    <row r="36" spans="1:4" x14ac:dyDescent="0.25">
      <c r="A36" t="s">
        <v>3871</v>
      </c>
      <c r="B36" t="s">
        <v>131</v>
      </c>
      <c r="C36" t="s">
        <v>2399</v>
      </c>
      <c r="D36" t="s">
        <v>1452</v>
      </c>
    </row>
    <row r="37" spans="1:4" x14ac:dyDescent="0.25">
      <c r="A37" t="s">
        <v>3872</v>
      </c>
      <c r="B37" t="s">
        <v>1450</v>
      </c>
      <c r="C37" t="s">
        <v>2357</v>
      </c>
      <c r="D37" t="s">
        <v>1452</v>
      </c>
    </row>
    <row r="38" spans="1:4" x14ac:dyDescent="0.25">
      <c r="A38" t="s">
        <v>3873</v>
      </c>
      <c r="B38" t="s">
        <v>1452</v>
      </c>
      <c r="C38" t="s">
        <v>2359</v>
      </c>
      <c r="D38" t="s">
        <v>1454</v>
      </c>
    </row>
    <row r="39" spans="1:4" x14ac:dyDescent="0.25">
      <c r="A39" t="s">
        <v>3874</v>
      </c>
      <c r="B39" t="s">
        <v>131</v>
      </c>
      <c r="C39" t="s">
        <v>2399</v>
      </c>
      <c r="D39" t="s">
        <v>1454</v>
      </c>
    </row>
    <row r="40" spans="1:4" x14ac:dyDescent="0.25">
      <c r="A40" t="s">
        <v>3875</v>
      </c>
      <c r="B40" t="s">
        <v>1450</v>
      </c>
      <c r="C40" t="s">
        <v>2357</v>
      </c>
      <c r="D40" t="s">
        <v>1454</v>
      </c>
    </row>
    <row r="41" spans="1:4" x14ac:dyDescent="0.25">
      <c r="A41" t="s">
        <v>3876</v>
      </c>
      <c r="B41" t="s">
        <v>1454</v>
      </c>
      <c r="C41" t="s">
        <v>2359</v>
      </c>
      <c r="D41" t="s">
        <v>1457</v>
      </c>
    </row>
    <row r="42" spans="1:4" x14ac:dyDescent="0.25">
      <c r="A42" t="s">
        <v>3877</v>
      </c>
      <c r="B42" t="s">
        <v>131</v>
      </c>
      <c r="C42" t="s">
        <v>2399</v>
      </c>
      <c r="D42" t="s">
        <v>1457</v>
      </c>
    </row>
    <row r="43" spans="1:4" x14ac:dyDescent="0.25">
      <c r="A43" t="s">
        <v>3878</v>
      </c>
      <c r="B43" t="s">
        <v>1457</v>
      </c>
      <c r="C43" t="s">
        <v>2359</v>
      </c>
      <c r="D43" t="s">
        <v>131</v>
      </c>
    </row>
    <row r="44" spans="1:4" x14ac:dyDescent="0.25">
      <c r="A44" t="s">
        <v>3879</v>
      </c>
      <c r="B44" t="s">
        <v>261</v>
      </c>
      <c r="C44" t="s">
        <v>2357</v>
      </c>
      <c r="D44" t="s">
        <v>131</v>
      </c>
    </row>
    <row r="45" spans="1:4" x14ac:dyDescent="0.25">
      <c r="A45" t="s">
        <v>3880</v>
      </c>
      <c r="B45" t="s">
        <v>131</v>
      </c>
      <c r="C45" t="s">
        <v>2359</v>
      </c>
      <c r="D45" t="s">
        <v>1460</v>
      </c>
    </row>
    <row r="46" spans="1:4" x14ac:dyDescent="0.25">
      <c r="A46" t="s">
        <v>3881</v>
      </c>
      <c r="B46" t="s">
        <v>261</v>
      </c>
      <c r="C46" t="s">
        <v>2357</v>
      </c>
      <c r="D46" t="s">
        <v>1460</v>
      </c>
    </row>
    <row r="47" spans="1:4" x14ac:dyDescent="0.25">
      <c r="A47" t="s">
        <v>3882</v>
      </c>
      <c r="B47" t="s">
        <v>1460</v>
      </c>
      <c r="C47" t="s">
        <v>2359</v>
      </c>
      <c r="D47" t="s">
        <v>1462</v>
      </c>
    </row>
    <row r="48" spans="1:4" x14ac:dyDescent="0.25">
      <c r="A48" t="s">
        <v>3883</v>
      </c>
      <c r="B48" t="s">
        <v>1461</v>
      </c>
      <c r="C48" t="s">
        <v>2357</v>
      </c>
      <c r="D48" t="s">
        <v>1462</v>
      </c>
    </row>
    <row r="49" spans="1:4" x14ac:dyDescent="0.25">
      <c r="A49" t="s">
        <v>3884</v>
      </c>
      <c r="B49" t="s">
        <v>1462</v>
      </c>
      <c r="C49" t="s">
        <v>2359</v>
      </c>
      <c r="D49" t="s">
        <v>1465</v>
      </c>
    </row>
    <row r="50" spans="1:4" x14ac:dyDescent="0.25">
      <c r="A50" t="s">
        <v>3885</v>
      </c>
      <c r="B50" t="s">
        <v>1461</v>
      </c>
      <c r="C50" t="s">
        <v>2357</v>
      </c>
      <c r="D50" t="s">
        <v>1465</v>
      </c>
    </row>
    <row r="51" spans="1:4" x14ac:dyDescent="0.25">
      <c r="A51" t="s">
        <v>3886</v>
      </c>
      <c r="B51" t="s">
        <v>1465</v>
      </c>
      <c r="C51" t="s">
        <v>2359</v>
      </c>
      <c r="D51" t="s">
        <v>1466</v>
      </c>
    </row>
    <row r="52" spans="1:4" x14ac:dyDescent="0.25">
      <c r="A52" t="s">
        <v>3887</v>
      </c>
      <c r="B52" t="s">
        <v>1466</v>
      </c>
      <c r="C52" t="s">
        <v>2359</v>
      </c>
      <c r="D52" t="s">
        <v>1469</v>
      </c>
    </row>
    <row r="53" spans="1:4" x14ac:dyDescent="0.25">
      <c r="A53" t="s">
        <v>3888</v>
      </c>
      <c r="B53" t="s">
        <v>1469</v>
      </c>
      <c r="C53" t="s">
        <v>2359</v>
      </c>
      <c r="D53" t="s">
        <v>1471</v>
      </c>
    </row>
    <row r="54" spans="1:4" x14ac:dyDescent="0.25">
      <c r="A54" t="s">
        <v>3889</v>
      </c>
      <c r="B54" t="s">
        <v>1470</v>
      </c>
      <c r="C54" t="s">
        <v>2357</v>
      </c>
      <c r="D54" t="s">
        <v>1471</v>
      </c>
    </row>
    <row r="55" spans="1:4" x14ac:dyDescent="0.25">
      <c r="A55" t="s">
        <v>3890</v>
      </c>
      <c r="B55" t="s">
        <v>1471</v>
      </c>
      <c r="C55" t="s">
        <v>2359</v>
      </c>
      <c r="D55" t="s">
        <v>1474</v>
      </c>
    </row>
    <row r="56" spans="1:4" x14ac:dyDescent="0.25">
      <c r="A56" t="s">
        <v>3891</v>
      </c>
      <c r="B56" t="s">
        <v>1470</v>
      </c>
      <c r="C56" t="s">
        <v>2357</v>
      </c>
      <c r="D56" t="s">
        <v>1474</v>
      </c>
    </row>
    <row r="57" spans="1:4" x14ac:dyDescent="0.25">
      <c r="A57" t="s">
        <v>3892</v>
      </c>
      <c r="B57" t="s">
        <v>1474</v>
      </c>
      <c r="C57" t="s">
        <v>2359</v>
      </c>
      <c r="D57" t="s">
        <v>1476</v>
      </c>
    </row>
    <row r="58" spans="1:4" x14ac:dyDescent="0.25">
      <c r="A58" t="s">
        <v>3893</v>
      </c>
      <c r="B58" t="s">
        <v>1475</v>
      </c>
      <c r="C58" t="s">
        <v>2357</v>
      </c>
      <c r="D58" t="s">
        <v>1476</v>
      </c>
    </row>
    <row r="59" spans="1:4" x14ac:dyDescent="0.25">
      <c r="A59" t="s">
        <v>3894</v>
      </c>
      <c r="B59" t="s">
        <v>1476</v>
      </c>
      <c r="C59" t="s">
        <v>2359</v>
      </c>
      <c r="D59" t="s">
        <v>1479</v>
      </c>
    </row>
    <row r="60" spans="1:4" x14ac:dyDescent="0.25">
      <c r="A60" t="s">
        <v>3895</v>
      </c>
      <c r="B60" t="s">
        <v>1475</v>
      </c>
      <c r="C60" t="s">
        <v>2357</v>
      </c>
      <c r="D60" t="s">
        <v>1479</v>
      </c>
    </row>
    <row r="61" spans="1:4" x14ac:dyDescent="0.25">
      <c r="A61" t="s">
        <v>3896</v>
      </c>
      <c r="B61" t="s">
        <v>1479</v>
      </c>
      <c r="C61" t="s">
        <v>2359</v>
      </c>
      <c r="D61" t="s">
        <v>1481</v>
      </c>
    </row>
    <row r="62" spans="1:4" x14ac:dyDescent="0.25">
      <c r="A62" t="s">
        <v>3897</v>
      </c>
      <c r="B62" t="s">
        <v>1480</v>
      </c>
      <c r="C62" t="s">
        <v>2357</v>
      </c>
      <c r="D62" t="s">
        <v>1481</v>
      </c>
    </row>
    <row r="63" spans="1:4" x14ac:dyDescent="0.25">
      <c r="A63" t="s">
        <v>3898</v>
      </c>
      <c r="B63" t="s">
        <v>1481</v>
      </c>
      <c r="C63" t="s">
        <v>2359</v>
      </c>
      <c r="D63" t="s">
        <v>1484</v>
      </c>
    </row>
    <row r="64" spans="1:4" x14ac:dyDescent="0.25">
      <c r="A64" t="s">
        <v>3899</v>
      </c>
      <c r="B64" t="s">
        <v>1480</v>
      </c>
      <c r="C64" t="s">
        <v>2357</v>
      </c>
      <c r="D64" t="s">
        <v>1484</v>
      </c>
    </row>
    <row r="65" spans="1:4" x14ac:dyDescent="0.25">
      <c r="A65" t="s">
        <v>3900</v>
      </c>
      <c r="B65" t="s">
        <v>1484</v>
      </c>
      <c r="C65" t="s">
        <v>2359</v>
      </c>
      <c r="D65" t="s">
        <v>1486</v>
      </c>
    </row>
    <row r="66" spans="1:4" x14ac:dyDescent="0.25">
      <c r="A66" t="s">
        <v>3901</v>
      </c>
      <c r="B66" t="s">
        <v>1485</v>
      </c>
      <c r="C66" t="s">
        <v>2357</v>
      </c>
      <c r="D66" t="s">
        <v>1486</v>
      </c>
    </row>
    <row r="67" spans="1:4" x14ac:dyDescent="0.25">
      <c r="A67" t="s">
        <v>3902</v>
      </c>
      <c r="B67" t="s">
        <v>1486</v>
      </c>
      <c r="C67" t="s">
        <v>2359</v>
      </c>
      <c r="D67" t="s">
        <v>1489</v>
      </c>
    </row>
    <row r="68" spans="1:4" x14ac:dyDescent="0.25">
      <c r="A68" t="s">
        <v>3903</v>
      </c>
      <c r="B68" t="s">
        <v>1485</v>
      </c>
      <c r="C68" t="s">
        <v>2357</v>
      </c>
      <c r="D68" t="s">
        <v>1489</v>
      </c>
    </row>
    <row r="69" spans="1:4" x14ac:dyDescent="0.25">
      <c r="A69" t="s">
        <v>3904</v>
      </c>
      <c r="B69" t="s">
        <v>1489</v>
      </c>
      <c r="C69" t="s">
        <v>2359</v>
      </c>
      <c r="D69" t="s">
        <v>70</v>
      </c>
    </row>
    <row r="70" spans="1:4" x14ac:dyDescent="0.25">
      <c r="A70" t="s">
        <v>3905</v>
      </c>
      <c r="B70" t="s">
        <v>1485</v>
      </c>
      <c r="C70" t="s">
        <v>2357</v>
      </c>
      <c r="D70" t="s">
        <v>70</v>
      </c>
    </row>
    <row r="71" spans="1:4" x14ac:dyDescent="0.25">
      <c r="A71" t="s">
        <v>3906</v>
      </c>
      <c r="B71" t="s">
        <v>70</v>
      </c>
      <c r="C71" t="s">
        <v>2359</v>
      </c>
      <c r="D71" t="s">
        <v>3907</v>
      </c>
    </row>
    <row r="72" spans="1:4" x14ac:dyDescent="0.25">
      <c r="A72" t="s">
        <v>3908</v>
      </c>
      <c r="B72" t="s">
        <v>1485</v>
      </c>
      <c r="C72" t="s">
        <v>2357</v>
      </c>
      <c r="D72" t="s">
        <v>3907</v>
      </c>
    </row>
    <row r="73" spans="1:4" x14ac:dyDescent="0.25">
      <c r="A73" t="s">
        <v>3909</v>
      </c>
      <c r="B73" t="s">
        <v>1409</v>
      </c>
      <c r="C73" t="s">
        <v>2359</v>
      </c>
      <c r="D73" t="s">
        <v>1493</v>
      </c>
    </row>
    <row r="74" spans="1:4" x14ac:dyDescent="0.25">
      <c r="A74" t="s">
        <v>3910</v>
      </c>
      <c r="B74" t="s">
        <v>1492</v>
      </c>
      <c r="C74" t="s">
        <v>2357</v>
      </c>
      <c r="D74" t="s">
        <v>1493</v>
      </c>
    </row>
    <row r="75" spans="1:4" x14ac:dyDescent="0.25">
      <c r="A75" t="s">
        <v>3911</v>
      </c>
      <c r="B75" t="s">
        <v>1493</v>
      </c>
      <c r="C75" t="s">
        <v>2359</v>
      </c>
      <c r="D75" t="s">
        <v>3912</v>
      </c>
    </row>
    <row r="76" spans="1:4" x14ac:dyDescent="0.25">
      <c r="A76" t="s">
        <v>3913</v>
      </c>
      <c r="B76" t="s">
        <v>1492</v>
      </c>
      <c r="C76" t="s">
        <v>2357</v>
      </c>
      <c r="D76" t="s">
        <v>3912</v>
      </c>
    </row>
    <row r="77" spans="1:4" x14ac:dyDescent="0.25">
      <c r="A77" t="s">
        <v>3914</v>
      </c>
      <c r="B77" t="s">
        <v>1409</v>
      </c>
      <c r="C77" t="s">
        <v>2359</v>
      </c>
      <c r="D77" t="s">
        <v>1497</v>
      </c>
    </row>
    <row r="78" spans="1:4" x14ac:dyDescent="0.25">
      <c r="A78" t="s">
        <v>3915</v>
      </c>
      <c r="B78" t="s">
        <v>1496</v>
      </c>
      <c r="C78" t="s">
        <v>2357</v>
      </c>
      <c r="D78" t="s">
        <v>1497</v>
      </c>
    </row>
    <row r="79" spans="1:4" x14ac:dyDescent="0.25">
      <c r="A79" t="s">
        <v>3916</v>
      </c>
      <c r="B79" t="s">
        <v>1497</v>
      </c>
      <c r="C79" t="s">
        <v>2359</v>
      </c>
      <c r="D79" t="s">
        <v>3917</v>
      </c>
    </row>
    <row r="80" spans="1:4" x14ac:dyDescent="0.25">
      <c r="A80" t="s">
        <v>3918</v>
      </c>
      <c r="B80" t="s">
        <v>1496</v>
      </c>
      <c r="C80" t="s">
        <v>2357</v>
      </c>
      <c r="D80" t="s">
        <v>3917</v>
      </c>
    </row>
    <row r="81" spans="1:4" x14ac:dyDescent="0.25">
      <c r="A81" t="s">
        <v>3919</v>
      </c>
      <c r="B81" t="s">
        <v>1409</v>
      </c>
      <c r="C81" t="s">
        <v>2359</v>
      </c>
      <c r="D81" t="s">
        <v>1501</v>
      </c>
    </row>
    <row r="82" spans="1:4" x14ac:dyDescent="0.25">
      <c r="A82" t="s">
        <v>3920</v>
      </c>
      <c r="B82" t="s">
        <v>1500</v>
      </c>
      <c r="C82" t="s">
        <v>2357</v>
      </c>
      <c r="D82" t="s">
        <v>1501</v>
      </c>
    </row>
    <row r="83" spans="1:4" x14ac:dyDescent="0.25">
      <c r="A83" t="s">
        <v>3921</v>
      </c>
      <c r="B83" t="s">
        <v>1501</v>
      </c>
      <c r="C83" t="s">
        <v>2359</v>
      </c>
      <c r="D83" t="s">
        <v>3922</v>
      </c>
    </row>
    <row r="84" spans="1:4" x14ac:dyDescent="0.25">
      <c r="A84" t="s">
        <v>3923</v>
      </c>
      <c r="B84" t="s">
        <v>1500</v>
      </c>
      <c r="C84" t="s">
        <v>2357</v>
      </c>
      <c r="D84" t="s">
        <v>3922</v>
      </c>
    </row>
    <row r="85" spans="1:4" x14ac:dyDescent="0.25">
      <c r="A85" t="s">
        <v>3924</v>
      </c>
      <c r="B85" t="s">
        <v>1409</v>
      </c>
      <c r="C85" t="s">
        <v>2359</v>
      </c>
      <c r="D85" t="s">
        <v>1507</v>
      </c>
    </row>
    <row r="86" spans="1:4" x14ac:dyDescent="0.25">
      <c r="A86" t="s">
        <v>3925</v>
      </c>
      <c r="B86" t="s">
        <v>1504</v>
      </c>
      <c r="C86" t="s">
        <v>2357</v>
      </c>
      <c r="D86" t="s">
        <v>1507</v>
      </c>
    </row>
    <row r="87" spans="1:4" x14ac:dyDescent="0.25">
      <c r="A87" t="s">
        <v>3926</v>
      </c>
      <c r="B87" t="s">
        <v>1507</v>
      </c>
      <c r="C87" t="s">
        <v>2359</v>
      </c>
      <c r="D87" t="s">
        <v>1510</v>
      </c>
    </row>
    <row r="88" spans="1:4" x14ac:dyDescent="0.25">
      <c r="A88" t="s">
        <v>3927</v>
      </c>
      <c r="B88" t="s">
        <v>1504</v>
      </c>
      <c r="C88" t="s">
        <v>2357</v>
      </c>
      <c r="D88" t="s">
        <v>1510</v>
      </c>
    </row>
    <row r="89" spans="1:4" x14ac:dyDescent="0.25">
      <c r="A89" t="s">
        <v>3928</v>
      </c>
      <c r="B89" t="s">
        <v>1510</v>
      </c>
      <c r="C89" t="s">
        <v>2359</v>
      </c>
      <c r="D89" t="s">
        <v>3929</v>
      </c>
    </row>
    <row r="90" spans="1:4" x14ac:dyDescent="0.25">
      <c r="A90" t="s">
        <v>3930</v>
      </c>
      <c r="B90" t="s">
        <v>1513</v>
      </c>
      <c r="C90" t="s">
        <v>2359</v>
      </c>
      <c r="D90" t="s">
        <v>1516</v>
      </c>
    </row>
    <row r="91" spans="1:4" x14ac:dyDescent="0.25">
      <c r="A91" t="s">
        <v>3931</v>
      </c>
      <c r="B91" t="s">
        <v>1516</v>
      </c>
      <c r="C91" t="s">
        <v>2359</v>
      </c>
      <c r="D91" t="s">
        <v>1519</v>
      </c>
    </row>
    <row r="92" spans="1:4" x14ac:dyDescent="0.25">
      <c r="A92" t="s">
        <v>3932</v>
      </c>
      <c r="B92" t="s">
        <v>1519</v>
      </c>
      <c r="C92" t="s">
        <v>2359</v>
      </c>
      <c r="D92" t="s">
        <v>3933</v>
      </c>
    </row>
    <row r="93" spans="1:4" x14ac:dyDescent="0.25">
      <c r="A93" t="s">
        <v>3934</v>
      </c>
      <c r="B93" t="s">
        <v>1409</v>
      </c>
      <c r="C93" t="s">
        <v>2359</v>
      </c>
      <c r="D93" t="s">
        <v>1524</v>
      </c>
    </row>
    <row r="94" spans="1:4" x14ac:dyDescent="0.25">
      <c r="A94" t="s">
        <v>3935</v>
      </c>
      <c r="B94" t="s">
        <v>1522</v>
      </c>
      <c r="C94" t="s">
        <v>2357</v>
      </c>
      <c r="D94" t="s">
        <v>1524</v>
      </c>
    </row>
    <row r="95" spans="1:4" x14ac:dyDescent="0.25">
      <c r="A95" t="s">
        <v>3936</v>
      </c>
      <c r="B95" t="s">
        <v>1524</v>
      </c>
      <c r="C95" t="s">
        <v>2359</v>
      </c>
      <c r="D95" t="s">
        <v>3937</v>
      </c>
    </row>
    <row r="96" spans="1:4" x14ac:dyDescent="0.25">
      <c r="A96" t="s">
        <v>3938</v>
      </c>
      <c r="B96" t="s">
        <v>1522</v>
      </c>
      <c r="C96" t="s">
        <v>2357</v>
      </c>
      <c r="D96" t="s">
        <v>3937</v>
      </c>
    </row>
    <row r="97" spans="1:4" x14ac:dyDescent="0.25">
      <c r="A97" t="s">
        <v>3939</v>
      </c>
      <c r="B97" t="s">
        <v>1409</v>
      </c>
      <c r="C97" t="s">
        <v>2359</v>
      </c>
      <c r="D97" t="s">
        <v>1528</v>
      </c>
    </row>
    <row r="98" spans="1:4" x14ac:dyDescent="0.25">
      <c r="A98" t="s">
        <v>3940</v>
      </c>
      <c r="B98" t="s">
        <v>1527</v>
      </c>
      <c r="C98" t="s">
        <v>2357</v>
      </c>
      <c r="D98" t="s">
        <v>1528</v>
      </c>
    </row>
    <row r="99" spans="1:4" x14ac:dyDescent="0.25">
      <c r="A99" t="s">
        <v>3941</v>
      </c>
      <c r="B99" t="s">
        <v>1528</v>
      </c>
      <c r="C99" t="s">
        <v>2359</v>
      </c>
      <c r="D99" t="s">
        <v>3942</v>
      </c>
    </row>
    <row r="100" spans="1:4" x14ac:dyDescent="0.25">
      <c r="A100" t="s">
        <v>3943</v>
      </c>
      <c r="B100" t="s">
        <v>1527</v>
      </c>
      <c r="C100" t="s">
        <v>2357</v>
      </c>
      <c r="D100" t="s">
        <v>3942</v>
      </c>
    </row>
    <row r="101" spans="1:4" x14ac:dyDescent="0.25">
      <c r="A101" t="s">
        <v>3944</v>
      </c>
      <c r="B101" t="s">
        <v>1409</v>
      </c>
      <c r="C101" t="s">
        <v>2359</v>
      </c>
      <c r="D101" t="s">
        <v>1532</v>
      </c>
    </row>
    <row r="102" spans="1:4" x14ac:dyDescent="0.25">
      <c r="A102" t="s">
        <v>3945</v>
      </c>
      <c r="B102" t="s">
        <v>1531</v>
      </c>
      <c r="C102" t="s">
        <v>2357</v>
      </c>
      <c r="D102" t="s">
        <v>1532</v>
      </c>
    </row>
    <row r="103" spans="1:4" x14ac:dyDescent="0.25">
      <c r="A103" t="s">
        <v>3946</v>
      </c>
      <c r="B103" t="s">
        <v>1532</v>
      </c>
      <c r="C103" t="s">
        <v>2359</v>
      </c>
      <c r="D103" t="s">
        <v>3947</v>
      </c>
    </row>
    <row r="104" spans="1:4" x14ac:dyDescent="0.25">
      <c r="A104" t="s">
        <v>3948</v>
      </c>
      <c r="B104" t="s">
        <v>1531</v>
      </c>
      <c r="C104" t="s">
        <v>2357</v>
      </c>
      <c r="D104" t="s">
        <v>3947</v>
      </c>
    </row>
    <row r="105" spans="1:4" x14ac:dyDescent="0.25">
      <c r="A105" t="s">
        <v>3949</v>
      </c>
      <c r="B105" t="s">
        <v>1409</v>
      </c>
      <c r="C105" t="s">
        <v>2359</v>
      </c>
      <c r="D105" t="s">
        <v>3950</v>
      </c>
    </row>
    <row r="106" spans="1:4" x14ac:dyDescent="0.25">
      <c r="A106" t="s">
        <v>3951</v>
      </c>
      <c r="B106" t="s">
        <v>1409</v>
      </c>
      <c r="C106" t="s">
        <v>2359</v>
      </c>
      <c r="D106" t="s">
        <v>3952</v>
      </c>
    </row>
    <row r="107" spans="1:4" x14ac:dyDescent="0.25">
      <c r="A107" t="s">
        <v>3953</v>
      </c>
      <c r="B107" t="s">
        <v>1409</v>
      </c>
      <c r="C107" t="s">
        <v>2359</v>
      </c>
      <c r="D107" t="s">
        <v>3954</v>
      </c>
    </row>
    <row r="108" spans="1:4" x14ac:dyDescent="0.25">
      <c r="A108" t="s">
        <v>3955</v>
      </c>
      <c r="B108" t="s">
        <v>1409</v>
      </c>
      <c r="C108" t="s">
        <v>2359</v>
      </c>
      <c r="D108" t="s">
        <v>3956</v>
      </c>
    </row>
    <row r="109" spans="1:4" x14ac:dyDescent="0.25">
      <c r="A109" t="s">
        <v>3957</v>
      </c>
      <c r="B109" t="s">
        <v>1409</v>
      </c>
      <c r="C109" t="s">
        <v>2359</v>
      </c>
      <c r="D109" t="s">
        <v>1546</v>
      </c>
    </row>
    <row r="110" spans="1:4" x14ac:dyDescent="0.25">
      <c r="A110" t="s">
        <v>3958</v>
      </c>
      <c r="B110" t="s">
        <v>1544</v>
      </c>
      <c r="C110" t="s">
        <v>2357</v>
      </c>
      <c r="D110" t="s">
        <v>1546</v>
      </c>
    </row>
    <row r="111" spans="1:4" x14ac:dyDescent="0.25">
      <c r="A111" t="s">
        <v>3959</v>
      </c>
      <c r="B111" t="s">
        <v>1546</v>
      </c>
      <c r="C111" t="s">
        <v>2359</v>
      </c>
      <c r="D111" t="s">
        <v>3960</v>
      </c>
    </row>
    <row r="112" spans="1:4" x14ac:dyDescent="0.25">
      <c r="A112" t="s">
        <v>3961</v>
      </c>
      <c r="B112" t="s">
        <v>1544</v>
      </c>
      <c r="C112" t="s">
        <v>2357</v>
      </c>
      <c r="D112" t="s">
        <v>3960</v>
      </c>
    </row>
    <row r="113" spans="1:4" x14ac:dyDescent="0.25">
      <c r="A113" t="s">
        <v>3962</v>
      </c>
      <c r="B113" t="s">
        <v>1546</v>
      </c>
      <c r="C113" t="s">
        <v>2359</v>
      </c>
      <c r="D113" t="s">
        <v>3963</v>
      </c>
    </row>
    <row r="114" spans="1:4" x14ac:dyDescent="0.25">
      <c r="A114" t="s">
        <v>3964</v>
      </c>
      <c r="B114" t="s">
        <v>1544</v>
      </c>
      <c r="C114" t="s">
        <v>2357</v>
      </c>
      <c r="D114" t="s">
        <v>3963</v>
      </c>
    </row>
    <row r="115" spans="1:4" x14ac:dyDescent="0.25">
      <c r="A115" t="s">
        <v>3965</v>
      </c>
      <c r="B115" t="s">
        <v>1546</v>
      </c>
      <c r="C115" t="s">
        <v>2359</v>
      </c>
      <c r="D115" t="s">
        <v>3966</v>
      </c>
    </row>
    <row r="116" spans="1:4" x14ac:dyDescent="0.25">
      <c r="A116" t="s">
        <v>3967</v>
      </c>
      <c r="B116" t="s">
        <v>1552</v>
      </c>
      <c r="C116" t="s">
        <v>2359</v>
      </c>
      <c r="D116" t="s">
        <v>3968</v>
      </c>
    </row>
    <row r="117" spans="1:4" x14ac:dyDescent="0.25">
      <c r="A117" t="s">
        <v>3969</v>
      </c>
      <c r="B117" t="s">
        <v>1553</v>
      </c>
      <c r="C117" t="s">
        <v>2357</v>
      </c>
      <c r="D117" t="s">
        <v>3968</v>
      </c>
    </row>
    <row r="118" spans="1:4" x14ac:dyDescent="0.25">
      <c r="A118" t="s">
        <v>3970</v>
      </c>
      <c r="B118" t="s">
        <v>1552</v>
      </c>
      <c r="C118" t="s">
        <v>2359</v>
      </c>
      <c r="D118" t="s">
        <v>3971</v>
      </c>
    </row>
    <row r="119" spans="1:4" x14ac:dyDescent="0.25">
      <c r="A119" t="s">
        <v>3972</v>
      </c>
      <c r="B119" t="s">
        <v>1553</v>
      </c>
      <c r="C119" t="s">
        <v>2357</v>
      </c>
      <c r="D119" t="s">
        <v>3971</v>
      </c>
    </row>
    <row r="120" spans="1:4" x14ac:dyDescent="0.25">
      <c r="A120" t="s">
        <v>3973</v>
      </c>
      <c r="B120" t="s">
        <v>1423</v>
      </c>
      <c r="C120" t="s">
        <v>2359</v>
      </c>
      <c r="D120" t="s">
        <v>1557</v>
      </c>
    </row>
    <row r="121" spans="1:4" x14ac:dyDescent="0.25">
      <c r="A121" t="s">
        <v>3974</v>
      </c>
      <c r="B121" t="s">
        <v>1556</v>
      </c>
      <c r="C121" t="s">
        <v>2357</v>
      </c>
      <c r="D121" t="s">
        <v>1557</v>
      </c>
    </row>
    <row r="122" spans="1:4" x14ac:dyDescent="0.25">
      <c r="A122" t="s">
        <v>3975</v>
      </c>
      <c r="B122" t="s">
        <v>1557</v>
      </c>
      <c r="C122" t="s">
        <v>2359</v>
      </c>
      <c r="D122" t="s">
        <v>3976</v>
      </c>
    </row>
    <row r="123" spans="1:4" x14ac:dyDescent="0.25">
      <c r="A123" t="s">
        <v>3977</v>
      </c>
      <c r="B123" t="s">
        <v>1556</v>
      </c>
      <c r="C123" t="s">
        <v>2357</v>
      </c>
      <c r="D123" t="s">
        <v>3976</v>
      </c>
    </row>
    <row r="124" spans="1:4" x14ac:dyDescent="0.25">
      <c r="A124" t="s">
        <v>3978</v>
      </c>
      <c r="B124" t="s">
        <v>1409</v>
      </c>
      <c r="C124" t="s">
        <v>2359</v>
      </c>
      <c r="D124" t="s">
        <v>1563</v>
      </c>
    </row>
    <row r="125" spans="1:4" x14ac:dyDescent="0.25">
      <c r="A125" t="s">
        <v>3979</v>
      </c>
      <c r="B125" t="s">
        <v>1560</v>
      </c>
      <c r="C125" t="s">
        <v>2399</v>
      </c>
      <c r="D125" t="s">
        <v>1563</v>
      </c>
    </row>
    <row r="126" spans="1:4" x14ac:dyDescent="0.25">
      <c r="A126" t="s">
        <v>3980</v>
      </c>
      <c r="B126" t="s">
        <v>1561</v>
      </c>
      <c r="C126" t="s">
        <v>2357</v>
      </c>
      <c r="D126" t="s">
        <v>1563</v>
      </c>
    </row>
    <row r="127" spans="1:4" x14ac:dyDescent="0.25">
      <c r="A127" t="s">
        <v>3981</v>
      </c>
      <c r="B127" t="s">
        <v>1563</v>
      </c>
      <c r="C127" t="s">
        <v>2359</v>
      </c>
      <c r="D127" t="s">
        <v>3982</v>
      </c>
    </row>
    <row r="128" spans="1:4" x14ac:dyDescent="0.25">
      <c r="A128" t="s">
        <v>3983</v>
      </c>
      <c r="B128" t="s">
        <v>1560</v>
      </c>
      <c r="C128" t="s">
        <v>2399</v>
      </c>
      <c r="D128" t="s">
        <v>3982</v>
      </c>
    </row>
    <row r="129" spans="1:4" x14ac:dyDescent="0.25">
      <c r="A129" t="s">
        <v>3984</v>
      </c>
      <c r="B129" t="s">
        <v>1561</v>
      </c>
      <c r="C129" t="s">
        <v>2357</v>
      </c>
      <c r="D129" t="s">
        <v>3982</v>
      </c>
    </row>
    <row r="130" spans="1:4" x14ac:dyDescent="0.25">
      <c r="A130" t="s">
        <v>3985</v>
      </c>
      <c r="B130" t="s">
        <v>1563</v>
      </c>
      <c r="C130" t="s">
        <v>2359</v>
      </c>
      <c r="D130" t="s">
        <v>3986</v>
      </c>
    </row>
    <row r="131" spans="1:4" x14ac:dyDescent="0.25">
      <c r="A131" t="s">
        <v>3987</v>
      </c>
      <c r="B131" t="s">
        <v>1560</v>
      </c>
      <c r="C131" t="s">
        <v>2399</v>
      </c>
      <c r="D131" t="s">
        <v>3986</v>
      </c>
    </row>
    <row r="132" spans="1:4" x14ac:dyDescent="0.25">
      <c r="A132" t="s">
        <v>3988</v>
      </c>
      <c r="B132" t="s">
        <v>1561</v>
      </c>
      <c r="C132" t="s">
        <v>2357</v>
      </c>
      <c r="D132" t="s">
        <v>3986</v>
      </c>
    </row>
    <row r="133" spans="1:4" x14ac:dyDescent="0.25">
      <c r="A133" t="s">
        <v>3989</v>
      </c>
      <c r="B133" t="s">
        <v>3982</v>
      </c>
      <c r="C133" t="s">
        <v>2366</v>
      </c>
      <c r="D133" t="s">
        <v>3990</v>
      </c>
    </row>
    <row r="134" spans="1:4" x14ac:dyDescent="0.25">
      <c r="A134" t="s">
        <v>3991</v>
      </c>
      <c r="B134" t="s">
        <v>3986</v>
      </c>
      <c r="C134" t="s">
        <v>2366</v>
      </c>
      <c r="D134" t="s">
        <v>3990</v>
      </c>
    </row>
    <row r="135" spans="1:4" x14ac:dyDescent="0.25">
      <c r="A135" t="s">
        <v>3992</v>
      </c>
      <c r="B135" t="s">
        <v>1560</v>
      </c>
      <c r="C135" t="s">
        <v>2399</v>
      </c>
      <c r="D135" t="s">
        <v>3990</v>
      </c>
    </row>
    <row r="136" spans="1:4" x14ac:dyDescent="0.25">
      <c r="A136" t="s">
        <v>3993</v>
      </c>
      <c r="B136" t="s">
        <v>1409</v>
      </c>
      <c r="C136" t="s">
        <v>2359</v>
      </c>
      <c r="D136" t="s">
        <v>1572</v>
      </c>
    </row>
    <row r="137" spans="1:4" x14ac:dyDescent="0.25">
      <c r="A137" t="s">
        <v>3994</v>
      </c>
      <c r="B137" t="s">
        <v>1570</v>
      </c>
      <c r="C137" t="s">
        <v>2357</v>
      </c>
      <c r="D137" t="s">
        <v>1572</v>
      </c>
    </row>
    <row r="138" spans="1:4" x14ac:dyDescent="0.25">
      <c r="A138" t="s">
        <v>3995</v>
      </c>
      <c r="B138" t="s">
        <v>1572</v>
      </c>
      <c r="C138" t="s">
        <v>2359</v>
      </c>
      <c r="D138" t="s">
        <v>1573</v>
      </c>
    </row>
    <row r="139" spans="1:4" x14ac:dyDescent="0.25">
      <c r="A139" t="s">
        <v>3996</v>
      </c>
      <c r="B139" t="s">
        <v>1570</v>
      </c>
      <c r="C139" t="s">
        <v>2357</v>
      </c>
      <c r="D139" t="s">
        <v>1573</v>
      </c>
    </row>
    <row r="140" spans="1:4" x14ac:dyDescent="0.25">
      <c r="A140" t="s">
        <v>3997</v>
      </c>
      <c r="B140" t="s">
        <v>1573</v>
      </c>
      <c r="C140" t="s">
        <v>2359</v>
      </c>
      <c r="D140" t="s">
        <v>3998</v>
      </c>
    </row>
    <row r="141" spans="1:4" x14ac:dyDescent="0.25">
      <c r="A141" t="s">
        <v>3999</v>
      </c>
      <c r="B141" t="s">
        <v>1409</v>
      </c>
      <c r="C141" t="s">
        <v>2359</v>
      </c>
      <c r="D141" t="s">
        <v>1577</v>
      </c>
    </row>
    <row r="142" spans="1:4" x14ac:dyDescent="0.25">
      <c r="A142" t="s">
        <v>4000</v>
      </c>
      <c r="B142" t="s">
        <v>1576</v>
      </c>
      <c r="C142" t="s">
        <v>2357</v>
      </c>
      <c r="D142" t="s">
        <v>1577</v>
      </c>
    </row>
    <row r="143" spans="1:4" x14ac:dyDescent="0.25">
      <c r="A143" t="s">
        <v>4001</v>
      </c>
      <c r="B143" t="s">
        <v>1577</v>
      </c>
      <c r="C143" t="s">
        <v>2359</v>
      </c>
      <c r="D143" t="s">
        <v>4002</v>
      </c>
    </row>
    <row r="144" spans="1:4" x14ac:dyDescent="0.25">
      <c r="A144" t="s">
        <v>4003</v>
      </c>
      <c r="B144" t="s">
        <v>1576</v>
      </c>
      <c r="C144" t="s">
        <v>2357</v>
      </c>
      <c r="D144" t="s">
        <v>4002</v>
      </c>
    </row>
    <row r="145" spans="1:4" x14ac:dyDescent="0.25">
      <c r="A145" t="s">
        <v>4004</v>
      </c>
      <c r="B145" t="s">
        <v>1409</v>
      </c>
      <c r="C145" t="s">
        <v>2359</v>
      </c>
      <c r="D145" t="s">
        <v>1581</v>
      </c>
    </row>
    <row r="146" spans="1:4" x14ac:dyDescent="0.25">
      <c r="A146" t="s">
        <v>4005</v>
      </c>
      <c r="B146" t="s">
        <v>1580</v>
      </c>
      <c r="C146" t="s">
        <v>2357</v>
      </c>
      <c r="D146" t="s">
        <v>1581</v>
      </c>
    </row>
    <row r="147" spans="1:4" x14ac:dyDescent="0.25">
      <c r="A147" t="s">
        <v>4006</v>
      </c>
      <c r="B147" t="s">
        <v>1581</v>
      </c>
      <c r="C147" t="s">
        <v>2359</v>
      </c>
      <c r="D147" t="s">
        <v>4007</v>
      </c>
    </row>
    <row r="148" spans="1:4" x14ac:dyDescent="0.25">
      <c r="A148" t="s">
        <v>4008</v>
      </c>
      <c r="B148" t="s">
        <v>1580</v>
      </c>
      <c r="C148" t="s">
        <v>2357</v>
      </c>
      <c r="D148" t="s">
        <v>4007</v>
      </c>
    </row>
    <row r="149" spans="1:4" x14ac:dyDescent="0.25">
      <c r="A149" t="s">
        <v>4009</v>
      </c>
      <c r="B149" t="s">
        <v>1584</v>
      </c>
      <c r="C149" t="s">
        <v>2359</v>
      </c>
      <c r="D149" t="s">
        <v>1587</v>
      </c>
    </row>
    <row r="150" spans="1:4" x14ac:dyDescent="0.25">
      <c r="A150" t="s">
        <v>4010</v>
      </c>
      <c r="B150" t="s">
        <v>1585</v>
      </c>
      <c r="C150" t="s">
        <v>2357</v>
      </c>
      <c r="D150" t="s">
        <v>1587</v>
      </c>
    </row>
    <row r="151" spans="1:4" x14ac:dyDescent="0.25">
      <c r="A151" t="s">
        <v>4011</v>
      </c>
      <c r="B151" t="s">
        <v>1587</v>
      </c>
      <c r="C151" t="s">
        <v>2359</v>
      </c>
      <c r="D151" t="s">
        <v>1589</v>
      </c>
    </row>
    <row r="152" spans="1:4" x14ac:dyDescent="0.25">
      <c r="A152" t="s">
        <v>4012</v>
      </c>
      <c r="B152" t="s">
        <v>1585</v>
      </c>
      <c r="C152" t="s">
        <v>2357</v>
      </c>
      <c r="D152" t="s">
        <v>1589</v>
      </c>
    </row>
    <row r="153" spans="1:4" x14ac:dyDescent="0.25">
      <c r="A153" t="s">
        <v>4013</v>
      </c>
      <c r="B153" t="s">
        <v>1589</v>
      </c>
      <c r="C153" t="s">
        <v>2359</v>
      </c>
      <c r="D153" t="s">
        <v>1591</v>
      </c>
    </row>
    <row r="154" spans="1:4" x14ac:dyDescent="0.25">
      <c r="A154" t="s">
        <v>4014</v>
      </c>
      <c r="B154" t="s">
        <v>1585</v>
      </c>
      <c r="C154" t="s">
        <v>2357</v>
      </c>
      <c r="D154" t="s">
        <v>1591</v>
      </c>
    </row>
    <row r="155" spans="1:4" x14ac:dyDescent="0.25">
      <c r="A155" t="s">
        <v>4015</v>
      </c>
      <c r="B155" t="s">
        <v>1591</v>
      </c>
      <c r="C155" t="s">
        <v>2359</v>
      </c>
      <c r="D155" t="s">
        <v>1593</v>
      </c>
    </row>
    <row r="156" spans="1:4" x14ac:dyDescent="0.25">
      <c r="A156" t="s">
        <v>4016</v>
      </c>
      <c r="B156" t="s">
        <v>1585</v>
      </c>
      <c r="C156" t="s">
        <v>2357</v>
      </c>
      <c r="D156" t="s">
        <v>1593</v>
      </c>
    </row>
    <row r="157" spans="1:4" x14ac:dyDescent="0.25">
      <c r="A157" t="s">
        <v>4017</v>
      </c>
      <c r="B157" t="s">
        <v>1593</v>
      </c>
      <c r="C157" t="s">
        <v>2359</v>
      </c>
      <c r="D157" t="s">
        <v>1595</v>
      </c>
    </row>
    <row r="158" spans="1:4" x14ac:dyDescent="0.25">
      <c r="A158" t="s">
        <v>4018</v>
      </c>
      <c r="B158" t="s">
        <v>1585</v>
      </c>
      <c r="C158" t="s">
        <v>2357</v>
      </c>
      <c r="D158" t="s">
        <v>1595</v>
      </c>
    </row>
    <row r="159" spans="1:4" x14ac:dyDescent="0.25">
      <c r="A159" t="s">
        <v>4019</v>
      </c>
      <c r="B159" t="s">
        <v>1595</v>
      </c>
      <c r="C159" t="s">
        <v>2359</v>
      </c>
      <c r="D159" t="s">
        <v>1596</v>
      </c>
    </row>
    <row r="160" spans="1:4" x14ac:dyDescent="0.25">
      <c r="A160" t="s">
        <v>4020</v>
      </c>
      <c r="B160" t="s">
        <v>1585</v>
      </c>
      <c r="C160" t="s">
        <v>2357</v>
      </c>
      <c r="D160" t="s">
        <v>1596</v>
      </c>
    </row>
    <row r="161" spans="1:4" x14ac:dyDescent="0.25">
      <c r="A161" t="s">
        <v>4021</v>
      </c>
      <c r="B161" t="s">
        <v>1596</v>
      </c>
      <c r="C161" t="s">
        <v>2359</v>
      </c>
      <c r="D161" t="s">
        <v>1642</v>
      </c>
    </row>
    <row r="162" spans="1:4" x14ac:dyDescent="0.25">
      <c r="A162" t="s">
        <v>4022</v>
      </c>
      <c r="B162" t="s">
        <v>1585</v>
      </c>
      <c r="C162" t="s">
        <v>2357</v>
      </c>
      <c r="D162" t="s">
        <v>1642</v>
      </c>
    </row>
    <row r="163" spans="1:4" x14ac:dyDescent="0.25">
      <c r="A163" t="s">
        <v>4023</v>
      </c>
      <c r="B163" t="s">
        <v>1409</v>
      </c>
      <c r="C163" t="s">
        <v>2359</v>
      </c>
      <c r="D163" t="s">
        <v>1601</v>
      </c>
    </row>
    <row r="164" spans="1:4" x14ac:dyDescent="0.25">
      <c r="A164" t="s">
        <v>4024</v>
      </c>
      <c r="B164" t="s">
        <v>1599</v>
      </c>
      <c r="C164" t="s">
        <v>2357</v>
      </c>
      <c r="D164" t="s">
        <v>1601</v>
      </c>
    </row>
    <row r="165" spans="1:4" x14ac:dyDescent="0.25">
      <c r="A165" t="s">
        <v>4025</v>
      </c>
      <c r="B165" t="s">
        <v>1601</v>
      </c>
      <c r="C165" t="s">
        <v>2359</v>
      </c>
      <c r="D165" t="s">
        <v>1603</v>
      </c>
    </row>
    <row r="166" spans="1:4" x14ac:dyDescent="0.25">
      <c r="A166" t="s">
        <v>4026</v>
      </c>
      <c r="B166" t="s">
        <v>1599</v>
      </c>
      <c r="C166" t="s">
        <v>2357</v>
      </c>
      <c r="D166" t="s">
        <v>1603</v>
      </c>
    </row>
    <row r="167" spans="1:4" x14ac:dyDescent="0.25">
      <c r="A167" t="s">
        <v>4027</v>
      </c>
      <c r="B167" t="s">
        <v>1603</v>
      </c>
      <c r="C167" t="s">
        <v>2359</v>
      </c>
      <c r="D167" t="s">
        <v>1605</v>
      </c>
    </row>
    <row r="168" spans="1:4" x14ac:dyDescent="0.25">
      <c r="A168" t="s">
        <v>4028</v>
      </c>
      <c r="B168" t="s">
        <v>1605</v>
      </c>
      <c r="C168" t="s">
        <v>2359</v>
      </c>
      <c r="D168" t="s">
        <v>4029</v>
      </c>
    </row>
    <row r="169" spans="1:4" x14ac:dyDescent="0.25">
      <c r="A169" t="s">
        <v>4030</v>
      </c>
      <c r="B169" t="s">
        <v>1409</v>
      </c>
      <c r="C169" t="s">
        <v>2359</v>
      </c>
      <c r="D169" t="s">
        <v>1610</v>
      </c>
    </row>
    <row r="170" spans="1:4" x14ac:dyDescent="0.25">
      <c r="A170" t="s">
        <v>4031</v>
      </c>
      <c r="B170" t="s">
        <v>1608</v>
      </c>
      <c r="C170" t="s">
        <v>2357</v>
      </c>
      <c r="D170" t="s">
        <v>1610</v>
      </c>
    </row>
    <row r="171" spans="1:4" x14ac:dyDescent="0.25">
      <c r="A171" t="s">
        <v>4032</v>
      </c>
      <c r="B171" t="s">
        <v>1610</v>
      </c>
      <c r="C171" t="s">
        <v>2359</v>
      </c>
      <c r="D171" t="s">
        <v>4033</v>
      </c>
    </row>
    <row r="172" spans="1:4" x14ac:dyDescent="0.25">
      <c r="A172" t="s">
        <v>4034</v>
      </c>
      <c r="B172" t="s">
        <v>1608</v>
      </c>
      <c r="C172" t="s">
        <v>2357</v>
      </c>
      <c r="D172" t="s">
        <v>4033</v>
      </c>
    </row>
    <row r="173" spans="1:4" x14ac:dyDescent="0.25">
      <c r="A173" t="s">
        <v>4035</v>
      </c>
      <c r="B173" t="s">
        <v>1610</v>
      </c>
      <c r="C173" t="s">
        <v>2359</v>
      </c>
      <c r="D173" t="s">
        <v>4036</v>
      </c>
    </row>
    <row r="174" spans="1:4" x14ac:dyDescent="0.25">
      <c r="A174" t="s">
        <v>4037</v>
      </c>
      <c r="B174" t="s">
        <v>1608</v>
      </c>
      <c r="C174" t="s">
        <v>2357</v>
      </c>
      <c r="D174" t="s">
        <v>4036</v>
      </c>
    </row>
    <row r="175" spans="1:4" x14ac:dyDescent="0.25">
      <c r="A175" t="s">
        <v>4038</v>
      </c>
      <c r="B175" t="s">
        <v>1584</v>
      </c>
      <c r="C175" t="s">
        <v>2359</v>
      </c>
      <c r="D175" t="s">
        <v>1619</v>
      </c>
    </row>
    <row r="176" spans="1:4" x14ac:dyDescent="0.25">
      <c r="A176" t="s">
        <v>4039</v>
      </c>
      <c r="B176" t="s">
        <v>1616</v>
      </c>
      <c r="C176" t="s">
        <v>2399</v>
      </c>
      <c r="D176" t="s">
        <v>1619</v>
      </c>
    </row>
    <row r="177" spans="1:4" x14ac:dyDescent="0.25">
      <c r="A177" t="s">
        <v>4040</v>
      </c>
      <c r="B177" t="s">
        <v>1617</v>
      </c>
      <c r="C177" t="s">
        <v>2357</v>
      </c>
      <c r="D177" t="s">
        <v>1619</v>
      </c>
    </row>
    <row r="178" spans="1:4" x14ac:dyDescent="0.25">
      <c r="A178" t="s">
        <v>4041</v>
      </c>
      <c r="B178" t="s">
        <v>1619</v>
      </c>
      <c r="C178" t="s">
        <v>2359</v>
      </c>
      <c r="D178" t="s">
        <v>4042</v>
      </c>
    </row>
    <row r="179" spans="1:4" x14ac:dyDescent="0.25">
      <c r="A179" t="s">
        <v>4043</v>
      </c>
      <c r="B179" t="s">
        <v>1616</v>
      </c>
      <c r="C179" t="s">
        <v>2399</v>
      </c>
      <c r="D179" t="s">
        <v>4042</v>
      </c>
    </row>
    <row r="180" spans="1:4" x14ac:dyDescent="0.25">
      <c r="A180" t="s">
        <v>4044</v>
      </c>
      <c r="B180" t="s">
        <v>1617</v>
      </c>
      <c r="C180" t="s">
        <v>2357</v>
      </c>
      <c r="D180" t="s">
        <v>4042</v>
      </c>
    </row>
    <row r="181" spans="1:4" x14ac:dyDescent="0.25">
      <c r="A181" t="s">
        <v>4045</v>
      </c>
      <c r="B181" t="s">
        <v>1619</v>
      </c>
      <c r="C181" t="s">
        <v>2359</v>
      </c>
      <c r="D181" t="s">
        <v>4046</v>
      </c>
    </row>
    <row r="182" spans="1:4" x14ac:dyDescent="0.25">
      <c r="A182" t="s">
        <v>4047</v>
      </c>
      <c r="B182" t="s">
        <v>1616</v>
      </c>
      <c r="C182" t="s">
        <v>2399</v>
      </c>
      <c r="D182" t="s">
        <v>4046</v>
      </c>
    </row>
    <row r="183" spans="1:4" x14ac:dyDescent="0.25">
      <c r="A183" t="s">
        <v>4048</v>
      </c>
      <c r="B183" t="s">
        <v>1617</v>
      </c>
      <c r="C183" t="s">
        <v>2357</v>
      </c>
      <c r="D183" t="s">
        <v>4046</v>
      </c>
    </row>
    <row r="184" spans="1:4" x14ac:dyDescent="0.25">
      <c r="A184" t="s">
        <v>4049</v>
      </c>
      <c r="B184" t="s">
        <v>4042</v>
      </c>
      <c r="C184" t="s">
        <v>2366</v>
      </c>
      <c r="D184" t="s">
        <v>4050</v>
      </c>
    </row>
    <row r="185" spans="1:4" x14ac:dyDescent="0.25">
      <c r="A185" t="s">
        <v>4051</v>
      </c>
      <c r="B185" t="s">
        <v>4046</v>
      </c>
      <c r="C185" t="s">
        <v>2366</v>
      </c>
      <c r="D185" t="s">
        <v>4050</v>
      </c>
    </row>
    <row r="186" spans="1:4" x14ac:dyDescent="0.25">
      <c r="A186" t="s">
        <v>4052</v>
      </c>
      <c r="B186" t="s">
        <v>1616</v>
      </c>
      <c r="C186" t="s">
        <v>2399</v>
      </c>
      <c r="D186" t="s">
        <v>4050</v>
      </c>
    </row>
    <row r="187" spans="1:4" x14ac:dyDescent="0.25">
      <c r="A187" t="s">
        <v>4053</v>
      </c>
      <c r="B187" t="s">
        <v>1409</v>
      </c>
      <c r="C187" t="s">
        <v>2359</v>
      </c>
      <c r="D187" t="s">
        <v>1627</v>
      </c>
    </row>
    <row r="188" spans="1:4" x14ac:dyDescent="0.25">
      <c r="A188" t="s">
        <v>4054</v>
      </c>
      <c r="B188" t="s">
        <v>1626</v>
      </c>
      <c r="C188" t="s">
        <v>2357</v>
      </c>
      <c r="D188" t="s">
        <v>1627</v>
      </c>
    </row>
    <row r="189" spans="1:4" x14ac:dyDescent="0.25">
      <c r="A189" t="s">
        <v>4055</v>
      </c>
      <c r="B189" t="s">
        <v>1627</v>
      </c>
      <c r="C189" t="s">
        <v>2359</v>
      </c>
      <c r="D189" t="s">
        <v>4056</v>
      </c>
    </row>
    <row r="190" spans="1:4" x14ac:dyDescent="0.25">
      <c r="A190" t="s">
        <v>4057</v>
      </c>
      <c r="B190" t="s">
        <v>1626</v>
      </c>
      <c r="C190" t="s">
        <v>2357</v>
      </c>
      <c r="D190" t="s">
        <v>4056</v>
      </c>
    </row>
    <row r="191" spans="1:4" x14ac:dyDescent="0.25">
      <c r="A191" t="s">
        <v>4058</v>
      </c>
      <c r="B191" t="s">
        <v>1409</v>
      </c>
      <c r="C191" t="s">
        <v>2359</v>
      </c>
      <c r="D191" t="s">
        <v>1631</v>
      </c>
    </row>
    <row r="192" spans="1:4" x14ac:dyDescent="0.25">
      <c r="A192" t="s">
        <v>4059</v>
      </c>
      <c r="B192" t="s">
        <v>1630</v>
      </c>
      <c r="C192" t="s">
        <v>2357</v>
      </c>
      <c r="D192" t="s">
        <v>1631</v>
      </c>
    </row>
    <row r="193" spans="1:4" x14ac:dyDescent="0.25">
      <c r="A193" t="s">
        <v>4060</v>
      </c>
      <c r="B193" t="s">
        <v>1631</v>
      </c>
      <c r="C193" t="s">
        <v>2359</v>
      </c>
      <c r="D193" t="s">
        <v>4061</v>
      </c>
    </row>
    <row r="194" spans="1:4" x14ac:dyDescent="0.25">
      <c r="A194" t="s">
        <v>4062</v>
      </c>
      <c r="B194" t="s">
        <v>1630</v>
      </c>
      <c r="C194" t="s">
        <v>2357</v>
      </c>
      <c r="D194" t="s">
        <v>4061</v>
      </c>
    </row>
    <row r="195" spans="1:4" x14ac:dyDescent="0.25">
      <c r="A195" t="s">
        <v>4063</v>
      </c>
      <c r="B195" t="s">
        <v>1409</v>
      </c>
      <c r="C195" t="s">
        <v>2359</v>
      </c>
      <c r="D195" t="s">
        <v>1635</v>
      </c>
    </row>
    <row r="196" spans="1:4" x14ac:dyDescent="0.25">
      <c r="A196" t="s">
        <v>4064</v>
      </c>
      <c r="B196" t="s">
        <v>1634</v>
      </c>
      <c r="C196" t="s">
        <v>2357</v>
      </c>
      <c r="D196" t="s">
        <v>1635</v>
      </c>
    </row>
    <row r="197" spans="1:4" x14ac:dyDescent="0.25">
      <c r="A197" t="s">
        <v>4065</v>
      </c>
      <c r="B197" t="s">
        <v>1635</v>
      </c>
      <c r="C197" t="s">
        <v>2359</v>
      </c>
      <c r="D197" t="s">
        <v>4066</v>
      </c>
    </row>
    <row r="198" spans="1:4" x14ac:dyDescent="0.25">
      <c r="A198" t="s">
        <v>4067</v>
      </c>
      <c r="B198" t="s">
        <v>1634</v>
      </c>
      <c r="C198" t="s">
        <v>2357</v>
      </c>
      <c r="D198" t="s">
        <v>4066</v>
      </c>
    </row>
    <row r="199" spans="1:4" x14ac:dyDescent="0.25">
      <c r="A199" t="s">
        <v>4068</v>
      </c>
      <c r="B199" t="s">
        <v>1409</v>
      </c>
      <c r="C199" t="s">
        <v>2359</v>
      </c>
      <c r="D199" t="s">
        <v>1639</v>
      </c>
    </row>
    <row r="200" spans="1:4" x14ac:dyDescent="0.25">
      <c r="A200" t="s">
        <v>4069</v>
      </c>
      <c r="B200" t="s">
        <v>1638</v>
      </c>
      <c r="C200" t="s">
        <v>2357</v>
      </c>
      <c r="D200" t="s">
        <v>1639</v>
      </c>
    </row>
    <row r="201" spans="1:4" x14ac:dyDescent="0.25">
      <c r="A201" t="s">
        <v>4070</v>
      </c>
      <c r="B201" t="s">
        <v>1639</v>
      </c>
      <c r="C201" t="s">
        <v>2359</v>
      </c>
      <c r="D201" t="s">
        <v>4071</v>
      </c>
    </row>
    <row r="202" spans="1:4" x14ac:dyDescent="0.25">
      <c r="A202" t="s">
        <v>4072</v>
      </c>
      <c r="B202" t="s">
        <v>1638</v>
      </c>
      <c r="C202" t="s">
        <v>2357</v>
      </c>
      <c r="D202" t="s">
        <v>4071</v>
      </c>
    </row>
    <row r="203" spans="1:4" x14ac:dyDescent="0.25">
      <c r="A203" t="s">
        <v>4073</v>
      </c>
      <c r="B203" t="s">
        <v>1642</v>
      </c>
      <c r="C203" t="s">
        <v>2359</v>
      </c>
      <c r="D203" t="s">
        <v>1644</v>
      </c>
    </row>
    <row r="204" spans="1:4" x14ac:dyDescent="0.25">
      <c r="A204" t="s">
        <v>4074</v>
      </c>
      <c r="B204" t="s">
        <v>1643</v>
      </c>
      <c r="C204" t="s">
        <v>2357</v>
      </c>
      <c r="D204" t="s">
        <v>1644</v>
      </c>
    </row>
    <row r="205" spans="1:4" x14ac:dyDescent="0.25">
      <c r="A205" t="s">
        <v>4075</v>
      </c>
      <c r="B205" t="s">
        <v>1644</v>
      </c>
      <c r="C205" t="s">
        <v>2359</v>
      </c>
      <c r="D205" t="s">
        <v>4076</v>
      </c>
    </row>
    <row r="206" spans="1:4" x14ac:dyDescent="0.25">
      <c r="A206" t="s">
        <v>4077</v>
      </c>
      <c r="B206" t="s">
        <v>1643</v>
      </c>
      <c r="C206" t="s">
        <v>2357</v>
      </c>
      <c r="D206" t="s">
        <v>4076</v>
      </c>
    </row>
    <row r="207" spans="1:4" x14ac:dyDescent="0.25">
      <c r="A207" t="s">
        <v>4078</v>
      </c>
      <c r="B207" t="s">
        <v>1444</v>
      </c>
      <c r="C207" t="s">
        <v>2359</v>
      </c>
      <c r="D207" t="s">
        <v>1649</v>
      </c>
    </row>
    <row r="208" spans="1:4" x14ac:dyDescent="0.25">
      <c r="A208" t="s">
        <v>4079</v>
      </c>
      <c r="B208" t="s">
        <v>132</v>
      </c>
      <c r="C208" t="s">
        <v>2399</v>
      </c>
      <c r="D208" t="s">
        <v>1649</v>
      </c>
    </row>
    <row r="209" spans="1:4" x14ac:dyDescent="0.25">
      <c r="A209" t="s">
        <v>4080</v>
      </c>
      <c r="B209" t="s">
        <v>1647</v>
      </c>
      <c r="C209" t="s">
        <v>2357</v>
      </c>
      <c r="D209" t="s">
        <v>1649</v>
      </c>
    </row>
    <row r="210" spans="1:4" x14ac:dyDescent="0.25">
      <c r="A210" t="s">
        <v>4081</v>
      </c>
      <c r="B210" t="s">
        <v>1649</v>
      </c>
      <c r="C210" t="s">
        <v>2359</v>
      </c>
      <c r="D210" t="s">
        <v>1650</v>
      </c>
    </row>
    <row r="211" spans="1:4" x14ac:dyDescent="0.25">
      <c r="A211" t="s">
        <v>4082</v>
      </c>
      <c r="B211" t="s">
        <v>132</v>
      </c>
      <c r="C211" t="s">
        <v>2399</v>
      </c>
      <c r="D211" t="s">
        <v>1650</v>
      </c>
    </row>
    <row r="212" spans="1:4" x14ac:dyDescent="0.25">
      <c r="A212" t="s">
        <v>4083</v>
      </c>
      <c r="B212" t="s">
        <v>1647</v>
      </c>
      <c r="C212" t="s">
        <v>2357</v>
      </c>
      <c r="D212" t="s">
        <v>1650</v>
      </c>
    </row>
    <row r="213" spans="1:4" x14ac:dyDescent="0.25">
      <c r="A213" t="s">
        <v>4084</v>
      </c>
      <c r="B213" t="s">
        <v>1650</v>
      </c>
      <c r="C213" t="s">
        <v>2359</v>
      </c>
      <c r="D213" t="s">
        <v>4085</v>
      </c>
    </row>
    <row r="214" spans="1:4" x14ac:dyDescent="0.25">
      <c r="A214" t="s">
        <v>4086</v>
      </c>
      <c r="B214" t="s">
        <v>132</v>
      </c>
      <c r="C214" t="s">
        <v>2399</v>
      </c>
      <c r="D214" t="s">
        <v>4085</v>
      </c>
    </row>
    <row r="215" spans="1:4" x14ac:dyDescent="0.25">
      <c r="A215" t="s">
        <v>4087</v>
      </c>
      <c r="B215" t="s">
        <v>1409</v>
      </c>
      <c r="C215" t="s">
        <v>2359</v>
      </c>
      <c r="D215" t="s">
        <v>1655</v>
      </c>
    </row>
    <row r="216" spans="1:4" x14ac:dyDescent="0.25">
      <c r="A216" t="s">
        <v>4088</v>
      </c>
      <c r="B216" t="s">
        <v>1653</v>
      </c>
      <c r="C216" t="s">
        <v>2357</v>
      </c>
      <c r="D216" t="s">
        <v>1655</v>
      </c>
    </row>
    <row r="217" spans="1:4" x14ac:dyDescent="0.25">
      <c r="A217" t="s">
        <v>4089</v>
      </c>
      <c r="B217" t="s">
        <v>1655</v>
      </c>
      <c r="C217" t="s">
        <v>2359</v>
      </c>
      <c r="D217" t="s">
        <v>1658</v>
      </c>
    </row>
    <row r="218" spans="1:4" x14ac:dyDescent="0.25">
      <c r="A218" t="s">
        <v>4090</v>
      </c>
      <c r="B218" t="s">
        <v>1653</v>
      </c>
      <c r="C218" t="s">
        <v>2357</v>
      </c>
      <c r="D218" t="s">
        <v>1658</v>
      </c>
    </row>
    <row r="219" spans="1:4" x14ac:dyDescent="0.25">
      <c r="A219" t="s">
        <v>4091</v>
      </c>
      <c r="B219" t="s">
        <v>1658</v>
      </c>
      <c r="C219" t="s">
        <v>2359</v>
      </c>
      <c r="D219" t="s">
        <v>4092</v>
      </c>
    </row>
    <row r="220" spans="1:4" x14ac:dyDescent="0.25">
      <c r="A220" t="s">
        <v>4093</v>
      </c>
      <c r="B220" t="s">
        <v>1655</v>
      </c>
      <c r="C220" t="s">
        <v>2359</v>
      </c>
      <c r="D220" t="s">
        <v>1662</v>
      </c>
    </row>
    <row r="221" spans="1:4" x14ac:dyDescent="0.25">
      <c r="A221" t="s">
        <v>4094</v>
      </c>
      <c r="B221" t="s">
        <v>1653</v>
      </c>
      <c r="C221" t="s">
        <v>2357</v>
      </c>
      <c r="D221" t="s">
        <v>1662</v>
      </c>
    </row>
    <row r="222" spans="1:4" x14ac:dyDescent="0.25">
      <c r="A222" t="s">
        <v>4095</v>
      </c>
      <c r="B222" t="s">
        <v>1662</v>
      </c>
      <c r="C222" t="s">
        <v>2359</v>
      </c>
      <c r="D222" t="s">
        <v>1664</v>
      </c>
    </row>
    <row r="223" spans="1:4" x14ac:dyDescent="0.25">
      <c r="A223" t="s">
        <v>4096</v>
      </c>
      <c r="B223" t="s">
        <v>1664</v>
      </c>
      <c r="C223" t="s">
        <v>2359</v>
      </c>
      <c r="D223" t="s">
        <v>1666</v>
      </c>
    </row>
    <row r="224" spans="1:4" x14ac:dyDescent="0.25">
      <c r="A224" t="s">
        <v>4097</v>
      </c>
      <c r="B224" t="s">
        <v>1666</v>
      </c>
      <c r="C224" t="s">
        <v>2359</v>
      </c>
      <c r="D224" t="s">
        <v>4098</v>
      </c>
    </row>
    <row r="225" spans="1:4" x14ac:dyDescent="0.25">
      <c r="A225" t="s">
        <v>4099</v>
      </c>
      <c r="B225" t="s">
        <v>1655</v>
      </c>
      <c r="C225" t="s">
        <v>2359</v>
      </c>
      <c r="D225" t="s">
        <v>1670</v>
      </c>
    </row>
    <row r="226" spans="1:4" x14ac:dyDescent="0.25">
      <c r="A226" t="s">
        <v>4100</v>
      </c>
      <c r="B226" t="s">
        <v>1653</v>
      </c>
      <c r="C226" t="s">
        <v>2357</v>
      </c>
      <c r="D226" t="s">
        <v>1670</v>
      </c>
    </row>
    <row r="227" spans="1:4" x14ac:dyDescent="0.25">
      <c r="A227" t="s">
        <v>4101</v>
      </c>
      <c r="B227" t="s">
        <v>1670</v>
      </c>
      <c r="C227" t="s">
        <v>2359</v>
      </c>
      <c r="D227" t="s">
        <v>1673</v>
      </c>
    </row>
    <row r="228" spans="1:4" x14ac:dyDescent="0.25">
      <c r="A228" t="s">
        <v>4102</v>
      </c>
      <c r="B228" t="s">
        <v>1673</v>
      </c>
      <c r="C228" t="s">
        <v>2359</v>
      </c>
      <c r="D228" t="s">
        <v>4103</v>
      </c>
    </row>
    <row r="229" spans="1:4" x14ac:dyDescent="0.25">
      <c r="A229" t="s">
        <v>4104</v>
      </c>
      <c r="B229" t="s">
        <v>1676</v>
      </c>
      <c r="C229" t="s">
        <v>2359</v>
      </c>
      <c r="D229" t="s">
        <v>1679</v>
      </c>
    </row>
    <row r="230" spans="1:4" x14ac:dyDescent="0.25">
      <c r="A230" t="s">
        <v>4105</v>
      </c>
      <c r="B230" t="s">
        <v>1677</v>
      </c>
      <c r="C230" t="s">
        <v>2357</v>
      </c>
      <c r="D230" t="s">
        <v>1679</v>
      </c>
    </row>
    <row r="231" spans="1:4" x14ac:dyDescent="0.25">
      <c r="A231" t="s">
        <v>4106</v>
      </c>
      <c r="B231" t="s">
        <v>1679</v>
      </c>
      <c r="C231" t="s">
        <v>2359</v>
      </c>
      <c r="D231" t="s">
        <v>1680</v>
      </c>
    </row>
    <row r="232" spans="1:4" x14ac:dyDescent="0.25">
      <c r="A232" t="s">
        <v>4107</v>
      </c>
      <c r="B232" t="s">
        <v>1677</v>
      </c>
      <c r="C232" t="s">
        <v>2357</v>
      </c>
      <c r="D232" t="s">
        <v>1680</v>
      </c>
    </row>
    <row r="233" spans="1:4" x14ac:dyDescent="0.25">
      <c r="A233" t="s">
        <v>4108</v>
      </c>
      <c r="B233" t="s">
        <v>1680</v>
      </c>
      <c r="C233" t="s">
        <v>2359</v>
      </c>
      <c r="D233" t="s">
        <v>4109</v>
      </c>
    </row>
    <row r="234" spans="1:4" x14ac:dyDescent="0.25">
      <c r="A234" t="s">
        <v>4110</v>
      </c>
      <c r="B234" t="s">
        <v>1423</v>
      </c>
      <c r="C234" t="s">
        <v>2359</v>
      </c>
      <c r="D234" t="s">
        <v>1685</v>
      </c>
    </row>
    <row r="235" spans="1:4" x14ac:dyDescent="0.25">
      <c r="A235" t="s">
        <v>4111</v>
      </c>
      <c r="B235" t="s">
        <v>131</v>
      </c>
      <c r="C235" t="s">
        <v>2399</v>
      </c>
      <c r="D235" t="s">
        <v>1685</v>
      </c>
    </row>
    <row r="236" spans="1:4" x14ac:dyDescent="0.25">
      <c r="A236" t="s">
        <v>4112</v>
      </c>
      <c r="B236" t="s">
        <v>1683</v>
      </c>
      <c r="C236" t="s">
        <v>2357</v>
      </c>
      <c r="D236" t="s">
        <v>1685</v>
      </c>
    </row>
    <row r="237" spans="1:4" x14ac:dyDescent="0.25">
      <c r="A237" t="s">
        <v>4113</v>
      </c>
      <c r="B237" t="s">
        <v>1685</v>
      </c>
      <c r="C237" t="s">
        <v>2359</v>
      </c>
      <c r="D237" t="s">
        <v>1688</v>
      </c>
    </row>
    <row r="238" spans="1:4" x14ac:dyDescent="0.25">
      <c r="A238" t="s">
        <v>4114</v>
      </c>
      <c r="B238" t="s">
        <v>131</v>
      </c>
      <c r="C238" t="s">
        <v>2399</v>
      </c>
      <c r="D238" t="s">
        <v>1688</v>
      </c>
    </row>
    <row r="239" spans="1:4" x14ac:dyDescent="0.25">
      <c r="A239" t="s">
        <v>4115</v>
      </c>
      <c r="B239" t="s">
        <v>1683</v>
      </c>
      <c r="C239" t="s">
        <v>2357</v>
      </c>
      <c r="D239" t="s">
        <v>1688</v>
      </c>
    </row>
    <row r="240" spans="1:4" x14ac:dyDescent="0.25">
      <c r="A240" t="s">
        <v>4116</v>
      </c>
      <c r="B240" t="s">
        <v>1688</v>
      </c>
      <c r="C240" t="s">
        <v>2359</v>
      </c>
      <c r="D240" t="s">
        <v>4117</v>
      </c>
    </row>
    <row r="241" spans="1:4" x14ac:dyDescent="0.25">
      <c r="A241" t="s">
        <v>4118</v>
      </c>
      <c r="B241" t="s">
        <v>131</v>
      </c>
      <c r="C241" t="s">
        <v>2399</v>
      </c>
      <c r="D241" t="s">
        <v>4117</v>
      </c>
    </row>
    <row r="242" spans="1:4" x14ac:dyDescent="0.25">
      <c r="A242" t="s">
        <v>4119</v>
      </c>
      <c r="B242" t="s">
        <v>1688</v>
      </c>
      <c r="C242" t="s">
        <v>2359</v>
      </c>
      <c r="D242" t="s">
        <v>4120</v>
      </c>
    </row>
    <row r="243" spans="1:4" x14ac:dyDescent="0.25">
      <c r="A243" t="s">
        <v>4121</v>
      </c>
      <c r="B243" t="s">
        <v>131</v>
      </c>
      <c r="C243" t="s">
        <v>2399</v>
      </c>
      <c r="D243" t="s">
        <v>4120</v>
      </c>
    </row>
    <row r="244" spans="1:4" x14ac:dyDescent="0.25">
      <c r="A244" t="s">
        <v>4122</v>
      </c>
      <c r="B244" t="s">
        <v>1688</v>
      </c>
      <c r="C244" t="s">
        <v>2359</v>
      </c>
      <c r="D244" t="s">
        <v>4123</v>
      </c>
    </row>
    <row r="245" spans="1:4" x14ac:dyDescent="0.25">
      <c r="A245" t="s">
        <v>4124</v>
      </c>
      <c r="B245" t="s">
        <v>131</v>
      </c>
      <c r="C245" t="s">
        <v>2399</v>
      </c>
      <c r="D245" t="s">
        <v>4123</v>
      </c>
    </row>
    <row r="246" spans="1:4" x14ac:dyDescent="0.25">
      <c r="A246" t="s">
        <v>4125</v>
      </c>
      <c r="B246" t="s">
        <v>1688</v>
      </c>
      <c r="C246" t="s">
        <v>2359</v>
      </c>
      <c r="D246" t="s">
        <v>1695</v>
      </c>
    </row>
    <row r="247" spans="1:4" x14ac:dyDescent="0.25">
      <c r="A247" t="s">
        <v>4126</v>
      </c>
      <c r="B247" t="s">
        <v>131</v>
      </c>
      <c r="C247" t="s">
        <v>2399</v>
      </c>
      <c r="D247" t="s">
        <v>1695</v>
      </c>
    </row>
    <row r="248" spans="1:4" x14ac:dyDescent="0.25">
      <c r="A248" t="s">
        <v>4127</v>
      </c>
      <c r="B248" t="s">
        <v>1695</v>
      </c>
      <c r="C248" t="s">
        <v>2359</v>
      </c>
      <c r="D248" t="s">
        <v>1696</v>
      </c>
    </row>
    <row r="249" spans="1:4" x14ac:dyDescent="0.25">
      <c r="A249" t="s">
        <v>4128</v>
      </c>
      <c r="B249" t="s">
        <v>131</v>
      </c>
      <c r="C249" t="s">
        <v>2399</v>
      </c>
      <c r="D249" t="s">
        <v>1696</v>
      </c>
    </row>
    <row r="250" spans="1:4" x14ac:dyDescent="0.25">
      <c r="A250" t="s">
        <v>4129</v>
      </c>
      <c r="B250" t="s">
        <v>1696</v>
      </c>
      <c r="C250" t="s">
        <v>2359</v>
      </c>
      <c r="D250" t="s">
        <v>4130</v>
      </c>
    </row>
    <row r="251" spans="1:4" x14ac:dyDescent="0.25">
      <c r="A251" t="s">
        <v>4131</v>
      </c>
      <c r="B251" t="s">
        <v>131</v>
      </c>
      <c r="C251" t="s">
        <v>2399</v>
      </c>
      <c r="D251" t="s">
        <v>4130</v>
      </c>
    </row>
    <row r="252" spans="1:4" x14ac:dyDescent="0.25">
      <c r="A252" t="s">
        <v>4132</v>
      </c>
      <c r="B252" t="s">
        <v>1423</v>
      </c>
      <c r="C252" t="s">
        <v>2359</v>
      </c>
      <c r="D252" t="s">
        <v>1701</v>
      </c>
    </row>
    <row r="253" spans="1:4" x14ac:dyDescent="0.25">
      <c r="A253" t="s">
        <v>4133</v>
      </c>
      <c r="B253" t="s">
        <v>131</v>
      </c>
      <c r="C253" t="s">
        <v>2399</v>
      </c>
      <c r="D253" t="s">
        <v>1701</v>
      </c>
    </row>
    <row r="254" spans="1:4" x14ac:dyDescent="0.25">
      <c r="A254" t="s">
        <v>4134</v>
      </c>
      <c r="B254" t="s">
        <v>1699</v>
      </c>
      <c r="C254" t="s">
        <v>2357</v>
      </c>
      <c r="D254" t="s">
        <v>1701</v>
      </c>
    </row>
    <row r="255" spans="1:4" x14ac:dyDescent="0.25">
      <c r="A255" t="s">
        <v>4135</v>
      </c>
      <c r="B255" t="s">
        <v>1701</v>
      </c>
      <c r="C255" t="s">
        <v>2359</v>
      </c>
      <c r="D255" t="s">
        <v>1703</v>
      </c>
    </row>
    <row r="256" spans="1:4" x14ac:dyDescent="0.25">
      <c r="A256" t="s">
        <v>4136</v>
      </c>
      <c r="B256" t="s">
        <v>131</v>
      </c>
      <c r="C256" t="s">
        <v>2399</v>
      </c>
      <c r="D256" t="s">
        <v>1703</v>
      </c>
    </row>
    <row r="257" spans="1:4" x14ac:dyDescent="0.25">
      <c r="A257" t="s">
        <v>4137</v>
      </c>
      <c r="B257" t="s">
        <v>1699</v>
      </c>
      <c r="C257" t="s">
        <v>2357</v>
      </c>
      <c r="D257" t="s">
        <v>1703</v>
      </c>
    </row>
    <row r="258" spans="1:4" x14ac:dyDescent="0.25">
      <c r="A258" t="s">
        <v>4138</v>
      </c>
      <c r="B258" t="s">
        <v>1703</v>
      </c>
      <c r="C258" t="s">
        <v>2359</v>
      </c>
      <c r="D258" t="s">
        <v>1705</v>
      </c>
    </row>
    <row r="259" spans="1:4" x14ac:dyDescent="0.25">
      <c r="A259" t="s">
        <v>4139</v>
      </c>
      <c r="B259" t="s">
        <v>131</v>
      </c>
      <c r="C259" t="s">
        <v>2399</v>
      </c>
      <c r="D259" t="s">
        <v>1705</v>
      </c>
    </row>
    <row r="260" spans="1:4" x14ac:dyDescent="0.25">
      <c r="A260" t="s">
        <v>4140</v>
      </c>
      <c r="B260" t="s">
        <v>1705</v>
      </c>
      <c r="C260" t="s">
        <v>2359</v>
      </c>
      <c r="D260" t="s">
        <v>1706</v>
      </c>
    </row>
    <row r="261" spans="1:4" x14ac:dyDescent="0.25">
      <c r="A261" t="s">
        <v>4141</v>
      </c>
      <c r="B261" t="s">
        <v>131</v>
      </c>
      <c r="C261" t="s">
        <v>2399</v>
      </c>
      <c r="D261" t="s">
        <v>1706</v>
      </c>
    </row>
    <row r="262" spans="1:4" x14ac:dyDescent="0.25">
      <c r="A262" t="s">
        <v>4142</v>
      </c>
      <c r="B262" t="s">
        <v>1706</v>
      </c>
      <c r="C262" t="s">
        <v>2359</v>
      </c>
      <c r="D262" t="s">
        <v>4143</v>
      </c>
    </row>
    <row r="263" spans="1:4" x14ac:dyDescent="0.25">
      <c r="A263" t="s">
        <v>4144</v>
      </c>
      <c r="B263" t="s">
        <v>131</v>
      </c>
      <c r="C263" t="s">
        <v>2399</v>
      </c>
      <c r="D263" t="s">
        <v>4143</v>
      </c>
    </row>
    <row r="264" spans="1:4" x14ac:dyDescent="0.25">
      <c r="A264" t="s">
        <v>4145</v>
      </c>
      <c r="B264" t="s">
        <v>1616</v>
      </c>
      <c r="C264" t="s">
        <v>2359</v>
      </c>
      <c r="D264" t="s">
        <v>1710</v>
      </c>
    </row>
    <row r="265" spans="1:4" x14ac:dyDescent="0.25">
      <c r="A265" t="s">
        <v>4146</v>
      </c>
      <c r="B265" t="s">
        <v>131</v>
      </c>
      <c r="C265" t="s">
        <v>2399</v>
      </c>
      <c r="D265" t="s">
        <v>1710</v>
      </c>
    </row>
    <row r="266" spans="1:4" x14ac:dyDescent="0.25">
      <c r="A266" t="s">
        <v>4147</v>
      </c>
      <c r="B266" t="s">
        <v>1709</v>
      </c>
      <c r="C266" t="s">
        <v>2357</v>
      </c>
      <c r="D266" t="s">
        <v>1710</v>
      </c>
    </row>
    <row r="267" spans="1:4" x14ac:dyDescent="0.25">
      <c r="A267" t="s">
        <v>4148</v>
      </c>
      <c r="B267" t="s">
        <v>1710</v>
      </c>
      <c r="C267" t="s">
        <v>2359</v>
      </c>
      <c r="D267" t="s">
        <v>4149</v>
      </c>
    </row>
    <row r="268" spans="1:4" x14ac:dyDescent="0.25">
      <c r="A268" t="s">
        <v>4150</v>
      </c>
      <c r="B268" t="s">
        <v>131</v>
      </c>
      <c r="C268" t="s">
        <v>2399</v>
      </c>
      <c r="D268" t="s">
        <v>4149</v>
      </c>
    </row>
    <row r="269" spans="1:4" x14ac:dyDescent="0.25">
      <c r="A269" t="s">
        <v>4151</v>
      </c>
      <c r="B269" t="s">
        <v>1709</v>
      </c>
      <c r="C269" t="s">
        <v>2357</v>
      </c>
      <c r="D269" t="s">
        <v>4149</v>
      </c>
    </row>
    <row r="270" spans="1:4" x14ac:dyDescent="0.25">
      <c r="A270" t="s">
        <v>4152</v>
      </c>
      <c r="B270" t="s">
        <v>4130</v>
      </c>
      <c r="C270" t="s">
        <v>2366</v>
      </c>
      <c r="D270" t="s">
        <v>1716</v>
      </c>
    </row>
    <row r="271" spans="1:4" x14ac:dyDescent="0.25">
      <c r="A271" t="s">
        <v>4153</v>
      </c>
      <c r="B271" t="s">
        <v>4143</v>
      </c>
      <c r="C271" t="s">
        <v>2366</v>
      </c>
      <c r="D271" t="s">
        <v>1716</v>
      </c>
    </row>
    <row r="272" spans="1:4" x14ac:dyDescent="0.25">
      <c r="A272" t="s">
        <v>4154</v>
      </c>
      <c r="B272" t="s">
        <v>131</v>
      </c>
      <c r="C272" t="s">
        <v>2399</v>
      </c>
      <c r="D272" t="s">
        <v>1716</v>
      </c>
    </row>
    <row r="273" spans="1:4" x14ac:dyDescent="0.25">
      <c r="A273" t="s">
        <v>4155</v>
      </c>
      <c r="B273" t="s">
        <v>1714</v>
      </c>
      <c r="C273" t="s">
        <v>2357</v>
      </c>
      <c r="D273" t="s">
        <v>1716</v>
      </c>
    </row>
    <row r="274" spans="1:4" x14ac:dyDescent="0.25">
      <c r="A274" t="s">
        <v>4156</v>
      </c>
      <c r="B274" t="s">
        <v>1716</v>
      </c>
      <c r="C274" t="s">
        <v>2359</v>
      </c>
      <c r="D274" t="s">
        <v>1718</v>
      </c>
    </row>
    <row r="275" spans="1:4" x14ac:dyDescent="0.25">
      <c r="A275" t="s">
        <v>4157</v>
      </c>
      <c r="B275" t="s">
        <v>131</v>
      </c>
      <c r="C275" t="s">
        <v>2399</v>
      </c>
      <c r="D275" t="s">
        <v>1718</v>
      </c>
    </row>
    <row r="276" spans="1:4" x14ac:dyDescent="0.25">
      <c r="A276" t="s">
        <v>4158</v>
      </c>
      <c r="B276" t="s">
        <v>1714</v>
      </c>
      <c r="C276" t="s">
        <v>2357</v>
      </c>
      <c r="D276" t="s">
        <v>1718</v>
      </c>
    </row>
    <row r="277" spans="1:4" x14ac:dyDescent="0.25">
      <c r="A277" t="s">
        <v>4159</v>
      </c>
      <c r="B277" t="s">
        <v>1718</v>
      </c>
      <c r="C277" t="s">
        <v>2359</v>
      </c>
      <c r="D277" t="s">
        <v>1720</v>
      </c>
    </row>
    <row r="278" spans="1:4" x14ac:dyDescent="0.25">
      <c r="A278" t="s">
        <v>4160</v>
      </c>
      <c r="B278" t="s">
        <v>131</v>
      </c>
      <c r="C278" t="s">
        <v>2399</v>
      </c>
      <c r="D278" t="s">
        <v>1720</v>
      </c>
    </row>
    <row r="279" spans="1:4" x14ac:dyDescent="0.25">
      <c r="A279" t="s">
        <v>4161</v>
      </c>
      <c r="B279" t="s">
        <v>1720</v>
      </c>
      <c r="C279" t="s">
        <v>2359</v>
      </c>
      <c r="D279" t="s">
        <v>1722</v>
      </c>
    </row>
    <row r="280" spans="1:4" x14ac:dyDescent="0.25">
      <c r="A280" t="s">
        <v>4162</v>
      </c>
      <c r="B280" t="s">
        <v>131</v>
      </c>
      <c r="C280" t="s">
        <v>2399</v>
      </c>
      <c r="D280" t="s">
        <v>1722</v>
      </c>
    </row>
    <row r="281" spans="1:4" x14ac:dyDescent="0.25">
      <c r="A281" t="s">
        <v>4163</v>
      </c>
      <c r="B281" t="s">
        <v>1722</v>
      </c>
      <c r="C281" t="s">
        <v>2359</v>
      </c>
      <c r="D281" t="s">
        <v>1723</v>
      </c>
    </row>
    <row r="282" spans="1:4" x14ac:dyDescent="0.25">
      <c r="A282" t="s">
        <v>4164</v>
      </c>
      <c r="B282" t="s">
        <v>131</v>
      </c>
      <c r="C282" t="s">
        <v>2399</v>
      </c>
      <c r="D282" t="s">
        <v>1723</v>
      </c>
    </row>
    <row r="283" spans="1:4" x14ac:dyDescent="0.25">
      <c r="A283" t="s">
        <v>4165</v>
      </c>
      <c r="B283" t="s">
        <v>1723</v>
      </c>
      <c r="C283" t="s">
        <v>2359</v>
      </c>
      <c r="D283" t="s">
        <v>1616</v>
      </c>
    </row>
    <row r="284" spans="1:4" x14ac:dyDescent="0.25">
      <c r="A284" t="s">
        <v>4166</v>
      </c>
      <c r="B284" t="s">
        <v>131</v>
      </c>
      <c r="C284" t="s">
        <v>2399</v>
      </c>
      <c r="D284" t="s">
        <v>1616</v>
      </c>
    </row>
    <row r="285" spans="1:4" x14ac:dyDescent="0.25">
      <c r="A285" t="s">
        <v>4167</v>
      </c>
      <c r="B285" t="s">
        <v>1409</v>
      </c>
      <c r="C285" t="s">
        <v>2359</v>
      </c>
      <c r="D285" t="s">
        <v>1727</v>
      </c>
    </row>
    <row r="286" spans="1:4" x14ac:dyDescent="0.25">
      <c r="A286" t="s">
        <v>4168</v>
      </c>
      <c r="B286" t="s">
        <v>1726</v>
      </c>
      <c r="C286" t="s">
        <v>2357</v>
      </c>
      <c r="D286" t="s">
        <v>1727</v>
      </c>
    </row>
    <row r="287" spans="1:4" x14ac:dyDescent="0.25">
      <c r="A287" t="s">
        <v>4169</v>
      </c>
      <c r="B287" t="s">
        <v>1727</v>
      </c>
      <c r="C287" t="s">
        <v>2359</v>
      </c>
      <c r="D287" t="s">
        <v>4170</v>
      </c>
    </row>
    <row r="288" spans="1:4" x14ac:dyDescent="0.25">
      <c r="A288" t="s">
        <v>4171</v>
      </c>
      <c r="B288" t="s">
        <v>1726</v>
      </c>
      <c r="C288" t="s">
        <v>2357</v>
      </c>
      <c r="D288" t="s">
        <v>4170</v>
      </c>
    </row>
    <row r="289" spans="1:4" x14ac:dyDescent="0.25">
      <c r="A289" t="s">
        <v>4172</v>
      </c>
      <c r="B289" t="s">
        <v>1409</v>
      </c>
      <c r="C289" t="s">
        <v>2359</v>
      </c>
      <c r="D289" t="s">
        <v>1731</v>
      </c>
    </row>
    <row r="290" spans="1:4" x14ac:dyDescent="0.25">
      <c r="A290" t="s">
        <v>4173</v>
      </c>
      <c r="B290" t="s">
        <v>131</v>
      </c>
      <c r="C290" t="s">
        <v>2399</v>
      </c>
      <c r="D290" t="s">
        <v>1731</v>
      </c>
    </row>
    <row r="291" spans="1:4" x14ac:dyDescent="0.25">
      <c r="A291" t="s">
        <v>4174</v>
      </c>
      <c r="B291" t="s">
        <v>1730</v>
      </c>
      <c r="C291" t="s">
        <v>2357</v>
      </c>
      <c r="D291" t="s">
        <v>1731</v>
      </c>
    </row>
    <row r="292" spans="1:4" x14ac:dyDescent="0.25">
      <c r="A292" t="s">
        <v>4175</v>
      </c>
      <c r="B292" t="s">
        <v>1731</v>
      </c>
      <c r="C292" t="s">
        <v>2359</v>
      </c>
      <c r="D292" t="s">
        <v>4176</v>
      </c>
    </row>
    <row r="293" spans="1:4" x14ac:dyDescent="0.25">
      <c r="A293" t="s">
        <v>4177</v>
      </c>
      <c r="B293" t="s">
        <v>131</v>
      </c>
      <c r="C293" t="s">
        <v>2399</v>
      </c>
      <c r="D293" t="s">
        <v>4176</v>
      </c>
    </row>
    <row r="294" spans="1:4" x14ac:dyDescent="0.25">
      <c r="A294" t="s">
        <v>4178</v>
      </c>
      <c r="B294" t="s">
        <v>1730</v>
      </c>
      <c r="C294" t="s">
        <v>2357</v>
      </c>
      <c r="D294" t="s">
        <v>4176</v>
      </c>
    </row>
    <row r="295" spans="1:4" x14ac:dyDescent="0.25">
      <c r="A295" t="s">
        <v>4179</v>
      </c>
      <c r="B295" t="s">
        <v>1409</v>
      </c>
      <c r="C295" t="s">
        <v>2359</v>
      </c>
      <c r="D295" t="s">
        <v>1735</v>
      </c>
    </row>
    <row r="296" spans="1:4" x14ac:dyDescent="0.25">
      <c r="A296" t="s">
        <v>4180</v>
      </c>
      <c r="B296" t="s">
        <v>1734</v>
      </c>
      <c r="C296" t="s">
        <v>2357</v>
      </c>
      <c r="D296" t="s">
        <v>1735</v>
      </c>
    </row>
    <row r="297" spans="1:4" x14ac:dyDescent="0.25">
      <c r="A297" t="s">
        <v>4181</v>
      </c>
      <c r="B297" t="s">
        <v>1735</v>
      </c>
      <c r="C297" t="s">
        <v>2359</v>
      </c>
      <c r="D297" t="s">
        <v>4182</v>
      </c>
    </row>
    <row r="298" spans="1:4" x14ac:dyDescent="0.25">
      <c r="A298" t="s">
        <v>4183</v>
      </c>
      <c r="B298" t="s">
        <v>1734</v>
      </c>
      <c r="C298" t="s">
        <v>2357</v>
      </c>
      <c r="D298" t="s">
        <v>4182</v>
      </c>
    </row>
    <row r="299" spans="1:4" x14ac:dyDescent="0.25">
      <c r="A299" t="s">
        <v>4184</v>
      </c>
      <c r="B299" t="s">
        <v>1409</v>
      </c>
      <c r="C299" t="s">
        <v>2359</v>
      </c>
      <c r="D299" t="s">
        <v>1740</v>
      </c>
    </row>
    <row r="300" spans="1:4" x14ac:dyDescent="0.25">
      <c r="A300" t="s">
        <v>4185</v>
      </c>
      <c r="B300" t="s">
        <v>1738</v>
      </c>
      <c r="C300" t="s">
        <v>2357</v>
      </c>
      <c r="D300" t="s">
        <v>1740</v>
      </c>
    </row>
    <row r="301" spans="1:4" x14ac:dyDescent="0.25">
      <c r="A301" t="s">
        <v>4186</v>
      </c>
      <c r="B301" t="s">
        <v>1740</v>
      </c>
      <c r="C301" t="s">
        <v>2359</v>
      </c>
      <c r="D301" t="s">
        <v>1742</v>
      </c>
    </row>
    <row r="302" spans="1:4" x14ac:dyDescent="0.25">
      <c r="A302" t="s">
        <v>4187</v>
      </c>
      <c r="B302" t="s">
        <v>1738</v>
      </c>
      <c r="C302" t="s">
        <v>2357</v>
      </c>
      <c r="D302" t="s">
        <v>1742</v>
      </c>
    </row>
    <row r="303" spans="1:4" x14ac:dyDescent="0.25">
      <c r="A303" t="s">
        <v>4188</v>
      </c>
      <c r="B303" t="s">
        <v>1742</v>
      </c>
      <c r="C303" t="s">
        <v>2359</v>
      </c>
      <c r="D303" t="s">
        <v>1744</v>
      </c>
    </row>
    <row r="304" spans="1:4" x14ac:dyDescent="0.25">
      <c r="A304" t="s">
        <v>4189</v>
      </c>
      <c r="B304" t="s">
        <v>1744</v>
      </c>
      <c r="C304" t="s">
        <v>2359</v>
      </c>
      <c r="D304" t="s">
        <v>1745</v>
      </c>
    </row>
    <row r="305" spans="1:4" x14ac:dyDescent="0.25">
      <c r="A305" t="s">
        <v>4190</v>
      </c>
      <c r="B305" t="s">
        <v>1745</v>
      </c>
      <c r="C305" t="s">
        <v>2359</v>
      </c>
      <c r="D305" t="s">
        <v>1513</v>
      </c>
    </row>
    <row r="306" spans="1:4" x14ac:dyDescent="0.25">
      <c r="A306" t="s">
        <v>4191</v>
      </c>
      <c r="B306" t="s">
        <v>1409</v>
      </c>
      <c r="C306" t="s">
        <v>2359</v>
      </c>
      <c r="D306" t="s">
        <v>1749</v>
      </c>
    </row>
    <row r="307" spans="1:4" x14ac:dyDescent="0.25">
      <c r="A307" t="s">
        <v>4192</v>
      </c>
      <c r="B307" t="s">
        <v>1748</v>
      </c>
      <c r="C307" t="s">
        <v>2357</v>
      </c>
      <c r="D307" t="s">
        <v>1749</v>
      </c>
    </row>
    <row r="308" spans="1:4" x14ac:dyDescent="0.25">
      <c r="A308" t="s">
        <v>4193</v>
      </c>
      <c r="B308" t="s">
        <v>1749</v>
      </c>
      <c r="C308" t="s">
        <v>2359</v>
      </c>
      <c r="D308" t="s">
        <v>4194</v>
      </c>
    </row>
    <row r="309" spans="1:4" x14ac:dyDescent="0.25">
      <c r="A309" t="s">
        <v>4195</v>
      </c>
      <c r="B309" t="s">
        <v>1748</v>
      </c>
      <c r="C309" t="s">
        <v>2357</v>
      </c>
      <c r="D309" t="s">
        <v>4194</v>
      </c>
    </row>
    <row r="310" spans="1:4" x14ac:dyDescent="0.25">
      <c r="A310" t="s">
        <v>4196</v>
      </c>
      <c r="B310" t="s">
        <v>1409</v>
      </c>
      <c r="C310" t="s">
        <v>2359</v>
      </c>
      <c r="D310" t="s">
        <v>1753</v>
      </c>
    </row>
    <row r="311" spans="1:4" x14ac:dyDescent="0.25">
      <c r="A311" t="s">
        <v>4197</v>
      </c>
      <c r="B311" t="s">
        <v>1752</v>
      </c>
      <c r="C311" t="s">
        <v>2357</v>
      </c>
      <c r="D311" t="s">
        <v>1753</v>
      </c>
    </row>
    <row r="312" spans="1:4" x14ac:dyDescent="0.25">
      <c r="A312" t="s">
        <v>4198</v>
      </c>
      <c r="B312" t="s">
        <v>1753</v>
      </c>
      <c r="C312" t="s">
        <v>2359</v>
      </c>
      <c r="D312" t="s">
        <v>4199</v>
      </c>
    </row>
    <row r="313" spans="1:4" x14ac:dyDescent="0.25">
      <c r="A313" t="s">
        <v>4200</v>
      </c>
      <c r="B313" t="s">
        <v>1752</v>
      </c>
      <c r="C313" t="s">
        <v>2357</v>
      </c>
      <c r="D313" t="s">
        <v>4199</v>
      </c>
    </row>
    <row r="314" spans="1:4" x14ac:dyDescent="0.25">
      <c r="A314" t="s">
        <v>4201</v>
      </c>
      <c r="B314" t="s">
        <v>1409</v>
      </c>
      <c r="C314" t="s">
        <v>2359</v>
      </c>
      <c r="D314" t="s">
        <v>1757</v>
      </c>
    </row>
    <row r="315" spans="1:4" x14ac:dyDescent="0.25">
      <c r="A315" t="s">
        <v>4202</v>
      </c>
      <c r="B315" t="s">
        <v>1756</v>
      </c>
      <c r="C315" t="s">
        <v>2357</v>
      </c>
      <c r="D315" t="s">
        <v>1757</v>
      </c>
    </row>
    <row r="316" spans="1:4" x14ac:dyDescent="0.25">
      <c r="A316" t="s">
        <v>4203</v>
      </c>
      <c r="B316" t="s">
        <v>1757</v>
      </c>
      <c r="C316" t="s">
        <v>2359</v>
      </c>
      <c r="D316" t="s">
        <v>4204</v>
      </c>
    </row>
    <row r="317" spans="1:4" x14ac:dyDescent="0.25">
      <c r="A317" t="s">
        <v>4205</v>
      </c>
      <c r="B317" t="s">
        <v>1756</v>
      </c>
      <c r="C317" t="s">
        <v>2357</v>
      </c>
      <c r="D317" t="s">
        <v>4204</v>
      </c>
    </row>
    <row r="318" spans="1:4" x14ac:dyDescent="0.25">
      <c r="A318" t="s">
        <v>4206</v>
      </c>
      <c r="B318" t="s">
        <v>1409</v>
      </c>
      <c r="C318" t="s">
        <v>2359</v>
      </c>
      <c r="D318" t="s">
        <v>1762</v>
      </c>
    </row>
    <row r="319" spans="1:4" x14ac:dyDescent="0.25">
      <c r="A319" t="s">
        <v>4207</v>
      </c>
      <c r="B319" t="s">
        <v>1760</v>
      </c>
      <c r="C319" t="s">
        <v>2357</v>
      </c>
      <c r="D319" t="s">
        <v>1762</v>
      </c>
    </row>
    <row r="320" spans="1:4" x14ac:dyDescent="0.25">
      <c r="A320" t="s">
        <v>4208</v>
      </c>
      <c r="B320" t="s">
        <v>1762</v>
      </c>
      <c r="C320" t="s">
        <v>2359</v>
      </c>
      <c r="D320" t="s">
        <v>1763</v>
      </c>
    </row>
    <row r="321" spans="1:4" x14ac:dyDescent="0.25">
      <c r="A321" t="s">
        <v>4209</v>
      </c>
      <c r="B321" t="s">
        <v>1760</v>
      </c>
      <c r="C321" t="s">
        <v>2357</v>
      </c>
      <c r="D321" t="s">
        <v>1763</v>
      </c>
    </row>
    <row r="322" spans="1:4" x14ac:dyDescent="0.25">
      <c r="A322" t="s">
        <v>4210</v>
      </c>
      <c r="B322" t="s">
        <v>1763</v>
      </c>
      <c r="C322" t="s">
        <v>2359</v>
      </c>
      <c r="D322" t="s">
        <v>4211</v>
      </c>
    </row>
    <row r="323" spans="1:4" x14ac:dyDescent="0.25">
      <c r="A323" t="s">
        <v>4212</v>
      </c>
      <c r="B323" t="s">
        <v>1409</v>
      </c>
      <c r="C323" t="s">
        <v>2359</v>
      </c>
      <c r="D323" t="s">
        <v>1767</v>
      </c>
    </row>
    <row r="324" spans="1:4" x14ac:dyDescent="0.25">
      <c r="A324" t="s">
        <v>4213</v>
      </c>
      <c r="B324" t="s">
        <v>1766</v>
      </c>
      <c r="C324" t="s">
        <v>2357</v>
      </c>
      <c r="D324" t="s">
        <v>1767</v>
      </c>
    </row>
    <row r="325" spans="1:4" x14ac:dyDescent="0.25">
      <c r="A325" t="s">
        <v>4214</v>
      </c>
      <c r="B325" t="s">
        <v>1767</v>
      </c>
      <c r="C325" t="s">
        <v>2359</v>
      </c>
      <c r="D325" t="s">
        <v>4215</v>
      </c>
    </row>
    <row r="326" spans="1:4" x14ac:dyDescent="0.25">
      <c r="A326" t="s">
        <v>4216</v>
      </c>
      <c r="B326" t="s">
        <v>1766</v>
      </c>
      <c r="C326" t="s">
        <v>2357</v>
      </c>
      <c r="D326" t="s">
        <v>4215</v>
      </c>
    </row>
    <row r="327" spans="1:4" x14ac:dyDescent="0.25">
      <c r="A327" t="s">
        <v>4217</v>
      </c>
      <c r="B327" t="s">
        <v>1409</v>
      </c>
      <c r="C327" t="s">
        <v>2359</v>
      </c>
      <c r="D327" t="s">
        <v>1771</v>
      </c>
    </row>
    <row r="328" spans="1:4" x14ac:dyDescent="0.25">
      <c r="A328" t="s">
        <v>4218</v>
      </c>
      <c r="B328" t="s">
        <v>1770</v>
      </c>
      <c r="C328" t="s">
        <v>2357</v>
      </c>
      <c r="D328" t="s">
        <v>1771</v>
      </c>
    </row>
    <row r="329" spans="1:4" x14ac:dyDescent="0.25">
      <c r="A329" t="s">
        <v>4219</v>
      </c>
      <c r="B329" t="s">
        <v>1771</v>
      </c>
      <c r="C329" t="s">
        <v>2359</v>
      </c>
      <c r="D329" t="s">
        <v>4220</v>
      </c>
    </row>
    <row r="330" spans="1:4" x14ac:dyDescent="0.25">
      <c r="A330" t="s">
        <v>4221</v>
      </c>
      <c r="B330" t="s">
        <v>1770</v>
      </c>
      <c r="C330" t="s">
        <v>2357</v>
      </c>
      <c r="D330" t="s">
        <v>4220</v>
      </c>
    </row>
    <row r="331" spans="1:4" x14ac:dyDescent="0.25">
      <c r="A331" t="s">
        <v>4222</v>
      </c>
      <c r="B331" t="s">
        <v>1409</v>
      </c>
      <c r="C331" t="s">
        <v>2359</v>
      </c>
      <c r="D331" t="s">
        <v>1775</v>
      </c>
    </row>
    <row r="332" spans="1:4" x14ac:dyDescent="0.25">
      <c r="A332" t="s">
        <v>4223</v>
      </c>
      <c r="B332" t="s">
        <v>1774</v>
      </c>
      <c r="C332" t="s">
        <v>2357</v>
      </c>
      <c r="D332" t="s">
        <v>1775</v>
      </c>
    </row>
    <row r="333" spans="1:4" x14ac:dyDescent="0.25">
      <c r="A333" t="s">
        <v>4224</v>
      </c>
      <c r="B333" t="s">
        <v>1775</v>
      </c>
      <c r="C333" t="s">
        <v>2359</v>
      </c>
      <c r="D333" t="s">
        <v>1676</v>
      </c>
    </row>
    <row r="334" spans="1:4" x14ac:dyDescent="0.25">
      <c r="A334" t="s">
        <v>4225</v>
      </c>
      <c r="B334" t="s">
        <v>1774</v>
      </c>
      <c r="C334" t="s">
        <v>2357</v>
      </c>
      <c r="D334" t="s">
        <v>1676</v>
      </c>
    </row>
    <row r="335" spans="1:4" x14ac:dyDescent="0.25">
      <c r="A335" t="s">
        <v>4226</v>
      </c>
      <c r="B335" t="s">
        <v>1409</v>
      </c>
      <c r="C335" t="s">
        <v>2359</v>
      </c>
      <c r="D335" t="s">
        <v>1780</v>
      </c>
    </row>
    <row r="336" spans="1:4" x14ac:dyDescent="0.25">
      <c r="A336" t="s">
        <v>4227</v>
      </c>
      <c r="B336" t="s">
        <v>1778</v>
      </c>
      <c r="C336" t="s">
        <v>2357</v>
      </c>
      <c r="D336" t="s">
        <v>1780</v>
      </c>
    </row>
    <row r="337" spans="1:4" x14ac:dyDescent="0.25">
      <c r="A337" t="s">
        <v>4228</v>
      </c>
      <c r="B337" t="s">
        <v>1780</v>
      </c>
      <c r="C337" t="s">
        <v>2359</v>
      </c>
      <c r="D337" t="s">
        <v>1782</v>
      </c>
    </row>
    <row r="338" spans="1:4" x14ac:dyDescent="0.25">
      <c r="A338" t="s">
        <v>4229</v>
      </c>
      <c r="B338" t="s">
        <v>1778</v>
      </c>
      <c r="C338" t="s">
        <v>2357</v>
      </c>
      <c r="D338" t="s">
        <v>1782</v>
      </c>
    </row>
    <row r="339" spans="1:4" x14ac:dyDescent="0.25">
      <c r="A339" t="s">
        <v>4230</v>
      </c>
      <c r="B339" t="s">
        <v>1782</v>
      </c>
      <c r="C339" t="s">
        <v>2359</v>
      </c>
      <c r="D339" t="s">
        <v>1784</v>
      </c>
    </row>
    <row r="340" spans="1:4" x14ac:dyDescent="0.25">
      <c r="A340" t="s">
        <v>4231</v>
      </c>
      <c r="B340" t="s">
        <v>1784</v>
      </c>
      <c r="C340" t="s">
        <v>2359</v>
      </c>
      <c r="D340" t="s">
        <v>1785</v>
      </c>
    </row>
    <row r="341" spans="1:4" x14ac:dyDescent="0.25">
      <c r="A341" t="s">
        <v>4232</v>
      </c>
      <c r="B341" t="s">
        <v>1785</v>
      </c>
      <c r="C341" t="s">
        <v>2359</v>
      </c>
      <c r="D341" t="s">
        <v>1552</v>
      </c>
    </row>
    <row r="342" spans="1:4" x14ac:dyDescent="0.25">
      <c r="A342" t="s">
        <v>4233</v>
      </c>
      <c r="B342" t="s">
        <v>1409</v>
      </c>
      <c r="C342" t="s">
        <v>2359</v>
      </c>
      <c r="D342" t="s">
        <v>1789</v>
      </c>
    </row>
    <row r="343" spans="1:4" x14ac:dyDescent="0.25">
      <c r="A343" t="s">
        <v>4234</v>
      </c>
      <c r="B343" t="s">
        <v>1788</v>
      </c>
      <c r="C343" t="s">
        <v>2357</v>
      </c>
      <c r="D343" t="s">
        <v>1789</v>
      </c>
    </row>
    <row r="344" spans="1:4" x14ac:dyDescent="0.25">
      <c r="A344" t="s">
        <v>4235</v>
      </c>
      <c r="B344" t="s">
        <v>1789</v>
      </c>
      <c r="C344" t="s">
        <v>2359</v>
      </c>
      <c r="D344" t="s">
        <v>4236</v>
      </c>
    </row>
    <row r="345" spans="1:4" x14ac:dyDescent="0.25">
      <c r="A345" t="s">
        <v>4237</v>
      </c>
      <c r="B345" t="s">
        <v>1788</v>
      </c>
      <c r="C345" t="s">
        <v>2357</v>
      </c>
      <c r="D345" t="s">
        <v>4236</v>
      </c>
    </row>
    <row r="346" spans="1:4" x14ac:dyDescent="0.25">
      <c r="A346" t="s">
        <v>4238</v>
      </c>
      <c r="B346" t="s">
        <v>1423</v>
      </c>
      <c r="C346" t="s">
        <v>2359</v>
      </c>
      <c r="D346" t="s">
        <v>1793</v>
      </c>
    </row>
    <row r="347" spans="1:4" x14ac:dyDescent="0.25">
      <c r="A347" t="s">
        <v>4239</v>
      </c>
      <c r="B347" t="s">
        <v>1792</v>
      </c>
      <c r="C347" t="s">
        <v>2357</v>
      </c>
      <c r="D347" t="s">
        <v>1793</v>
      </c>
    </row>
    <row r="348" spans="1:4" x14ac:dyDescent="0.25">
      <c r="A348" t="s">
        <v>4240</v>
      </c>
      <c r="B348" t="s">
        <v>1793</v>
      </c>
      <c r="C348" t="s">
        <v>2359</v>
      </c>
      <c r="D348" t="s">
        <v>1584</v>
      </c>
    </row>
    <row r="349" spans="1:4" x14ac:dyDescent="0.25">
      <c r="A349" t="s">
        <v>4241</v>
      </c>
      <c r="B349" t="s">
        <v>1792</v>
      </c>
      <c r="C349" t="s">
        <v>2357</v>
      </c>
      <c r="D349" t="s">
        <v>1584</v>
      </c>
    </row>
    <row r="350" spans="1:4" x14ac:dyDescent="0.25">
      <c r="A350" t="s">
        <v>4242</v>
      </c>
      <c r="B350" t="s">
        <v>1409</v>
      </c>
      <c r="C350" t="s">
        <v>2359</v>
      </c>
      <c r="D350" t="s">
        <v>1797</v>
      </c>
    </row>
    <row r="351" spans="1:4" x14ac:dyDescent="0.25">
      <c r="A351" t="s">
        <v>4243</v>
      </c>
      <c r="B351" t="s">
        <v>1796</v>
      </c>
      <c r="C351" t="s">
        <v>2357</v>
      </c>
      <c r="D351" t="s">
        <v>1797</v>
      </c>
    </row>
    <row r="352" spans="1:4" x14ac:dyDescent="0.25">
      <c r="A352" t="s">
        <v>4244</v>
      </c>
      <c r="B352" t="s">
        <v>1797</v>
      </c>
      <c r="C352" t="s">
        <v>2359</v>
      </c>
      <c r="D352" t="s">
        <v>4245</v>
      </c>
    </row>
    <row r="353" spans="1:4" x14ac:dyDescent="0.25">
      <c r="A353" t="s">
        <v>4246</v>
      </c>
      <c r="B353" t="s">
        <v>1796</v>
      </c>
      <c r="C353" t="s">
        <v>2357</v>
      </c>
      <c r="D353" t="s">
        <v>4245</v>
      </c>
    </row>
    <row r="354" spans="1:4" x14ac:dyDescent="0.25">
      <c r="A354" t="s">
        <v>4247</v>
      </c>
      <c r="B354" t="s">
        <v>1409</v>
      </c>
      <c r="C354" t="s">
        <v>2359</v>
      </c>
      <c r="D354" t="s">
        <v>1801</v>
      </c>
    </row>
    <row r="355" spans="1:4" x14ac:dyDescent="0.25">
      <c r="A355" t="s">
        <v>4248</v>
      </c>
      <c r="B355" t="s">
        <v>1800</v>
      </c>
      <c r="C355" t="s">
        <v>2357</v>
      </c>
      <c r="D355" t="s">
        <v>1801</v>
      </c>
    </row>
    <row r="356" spans="1:4" x14ac:dyDescent="0.25">
      <c r="A356" t="s">
        <v>4249</v>
      </c>
      <c r="B356" t="s">
        <v>1801</v>
      </c>
      <c r="C356" t="s">
        <v>2359</v>
      </c>
      <c r="D356" t="s">
        <v>4250</v>
      </c>
    </row>
    <row r="357" spans="1:4" x14ac:dyDescent="0.25">
      <c r="A357" t="s">
        <v>4251</v>
      </c>
      <c r="B357" t="s">
        <v>1800</v>
      </c>
      <c r="C357" t="s">
        <v>2357</v>
      </c>
      <c r="D357" t="s">
        <v>4250</v>
      </c>
    </row>
    <row r="358" spans="1:4" x14ac:dyDescent="0.25">
      <c r="A358" t="s">
        <v>4252</v>
      </c>
      <c r="B358" t="s">
        <v>1409</v>
      </c>
      <c r="C358" t="s">
        <v>2359</v>
      </c>
      <c r="D358" t="s">
        <v>1805</v>
      </c>
    </row>
    <row r="359" spans="1:4" x14ac:dyDescent="0.25">
      <c r="A359" t="s">
        <v>4253</v>
      </c>
      <c r="B359" t="s">
        <v>1804</v>
      </c>
      <c r="C359" t="s">
        <v>2357</v>
      </c>
      <c r="D359" t="s">
        <v>1805</v>
      </c>
    </row>
    <row r="360" spans="1:4" x14ac:dyDescent="0.25">
      <c r="A360" t="s">
        <v>4254</v>
      </c>
      <c r="B360" t="s">
        <v>1805</v>
      </c>
      <c r="C360" t="s">
        <v>2359</v>
      </c>
      <c r="D360" t="s">
        <v>4255</v>
      </c>
    </row>
    <row r="361" spans="1:4" x14ac:dyDescent="0.25">
      <c r="A361" t="s">
        <v>4256</v>
      </c>
      <c r="B361" t="s">
        <v>1804</v>
      </c>
      <c r="C361" t="s">
        <v>2357</v>
      </c>
      <c r="D361" t="s">
        <v>4255</v>
      </c>
    </row>
    <row r="362" spans="1:4" x14ac:dyDescent="0.25">
      <c r="A362" t="s">
        <v>4257</v>
      </c>
      <c r="B362" t="s">
        <v>1409</v>
      </c>
      <c r="C362" t="s">
        <v>2359</v>
      </c>
      <c r="D362" t="s">
        <v>1810</v>
      </c>
    </row>
    <row r="363" spans="1:4" x14ac:dyDescent="0.25">
      <c r="A363" t="s">
        <v>4258</v>
      </c>
      <c r="B363" t="s">
        <v>1808</v>
      </c>
      <c r="C363" t="s">
        <v>2357</v>
      </c>
      <c r="D363" t="s">
        <v>1810</v>
      </c>
    </row>
    <row r="364" spans="1:4" x14ac:dyDescent="0.25">
      <c r="A364" t="s">
        <v>4259</v>
      </c>
      <c r="B364" t="s">
        <v>1810</v>
      </c>
      <c r="C364" t="s">
        <v>2359</v>
      </c>
      <c r="D364" t="s">
        <v>4260</v>
      </c>
    </row>
    <row r="365" spans="1:4" x14ac:dyDescent="0.25">
      <c r="A365" t="s">
        <v>4261</v>
      </c>
      <c r="B365" t="s">
        <v>1808</v>
      </c>
      <c r="C365" t="s">
        <v>2357</v>
      </c>
      <c r="D365" t="s">
        <v>4260</v>
      </c>
    </row>
    <row r="366" spans="1:4" x14ac:dyDescent="0.25">
      <c r="A366" t="s">
        <v>4262</v>
      </c>
      <c r="B366" t="s">
        <v>1810</v>
      </c>
      <c r="C366" t="s">
        <v>2359</v>
      </c>
      <c r="D366" t="s">
        <v>4263</v>
      </c>
    </row>
    <row r="367" spans="1:4" x14ac:dyDescent="0.25">
      <c r="A367" t="s">
        <v>4264</v>
      </c>
      <c r="B367" t="s">
        <v>1808</v>
      </c>
      <c r="C367" t="s">
        <v>2357</v>
      </c>
      <c r="D367" t="s">
        <v>4263</v>
      </c>
    </row>
    <row r="368" spans="1:4" x14ac:dyDescent="0.25">
      <c r="A368" t="s">
        <v>4265</v>
      </c>
      <c r="B368" t="s">
        <v>1409</v>
      </c>
      <c r="C368" t="s">
        <v>2359</v>
      </c>
      <c r="D368" t="s">
        <v>1817</v>
      </c>
    </row>
    <row r="369" spans="1:4" x14ac:dyDescent="0.25">
      <c r="A369" t="s">
        <v>4266</v>
      </c>
      <c r="B369" t="s">
        <v>1816</v>
      </c>
      <c r="C369" t="s">
        <v>2357</v>
      </c>
      <c r="D369" t="s">
        <v>1817</v>
      </c>
    </row>
    <row r="370" spans="1:4" x14ac:dyDescent="0.25">
      <c r="A370" t="s">
        <v>4267</v>
      </c>
      <c r="B370" t="s">
        <v>1817</v>
      </c>
      <c r="C370" t="s">
        <v>2359</v>
      </c>
      <c r="D370" t="s">
        <v>4268</v>
      </c>
    </row>
    <row r="371" spans="1:4" x14ac:dyDescent="0.25">
      <c r="A371" t="s">
        <v>4269</v>
      </c>
      <c r="B371" t="s">
        <v>1816</v>
      </c>
      <c r="C371" t="s">
        <v>2357</v>
      </c>
      <c r="D371" t="s">
        <v>4268</v>
      </c>
    </row>
    <row r="372" spans="1:4" x14ac:dyDescent="0.25">
      <c r="A372" t="s">
        <v>4270</v>
      </c>
      <c r="B372" t="s">
        <v>1409</v>
      </c>
      <c r="C372" t="s">
        <v>2359</v>
      </c>
      <c r="D372" t="s">
        <v>1822</v>
      </c>
    </row>
    <row r="373" spans="1:4" x14ac:dyDescent="0.25">
      <c r="A373" t="s">
        <v>4271</v>
      </c>
      <c r="B373" t="s">
        <v>1820</v>
      </c>
      <c r="C373" t="s">
        <v>2357</v>
      </c>
      <c r="D373" t="s">
        <v>1822</v>
      </c>
    </row>
    <row r="374" spans="1:4" x14ac:dyDescent="0.25">
      <c r="A374" t="s">
        <v>4272</v>
      </c>
      <c r="B374" t="s">
        <v>1822</v>
      </c>
      <c r="C374" t="s">
        <v>2359</v>
      </c>
      <c r="D374" t="s">
        <v>4273</v>
      </c>
    </row>
    <row r="375" spans="1:4" x14ac:dyDescent="0.25">
      <c r="A375" t="s">
        <v>4274</v>
      </c>
      <c r="B375" t="s">
        <v>1820</v>
      </c>
      <c r="C375" t="s">
        <v>2357</v>
      </c>
      <c r="D375" t="s">
        <v>4273</v>
      </c>
    </row>
    <row r="376" spans="1:4" x14ac:dyDescent="0.25">
      <c r="A376" t="s">
        <v>4275</v>
      </c>
      <c r="B376" t="s">
        <v>1822</v>
      </c>
      <c r="C376" t="s">
        <v>2359</v>
      </c>
      <c r="D376" t="s">
        <v>4276</v>
      </c>
    </row>
    <row r="377" spans="1:4" x14ac:dyDescent="0.25">
      <c r="A377" t="s">
        <v>4277</v>
      </c>
      <c r="B377" t="s">
        <v>1820</v>
      </c>
      <c r="C377" t="s">
        <v>2357</v>
      </c>
      <c r="D377" t="s">
        <v>4276</v>
      </c>
    </row>
    <row r="378" spans="1:4" x14ac:dyDescent="0.25">
      <c r="A378" t="s">
        <v>4278</v>
      </c>
      <c r="B378" t="s">
        <v>1409</v>
      </c>
      <c r="C378" t="s">
        <v>2359</v>
      </c>
      <c r="D378" t="s">
        <v>1829</v>
      </c>
    </row>
    <row r="379" spans="1:4" x14ac:dyDescent="0.25">
      <c r="A379" t="s">
        <v>4279</v>
      </c>
      <c r="B379" t="s">
        <v>1828</v>
      </c>
      <c r="C379" t="s">
        <v>2357</v>
      </c>
      <c r="D379" t="s">
        <v>1829</v>
      </c>
    </row>
    <row r="380" spans="1:4" x14ac:dyDescent="0.25">
      <c r="A380" t="s">
        <v>4280</v>
      </c>
      <c r="B380" t="s">
        <v>1829</v>
      </c>
      <c r="C380" t="s">
        <v>2359</v>
      </c>
      <c r="D380" t="s">
        <v>4281</v>
      </c>
    </row>
    <row r="381" spans="1:4" x14ac:dyDescent="0.25">
      <c r="A381" t="s">
        <v>4282</v>
      </c>
      <c r="B381" t="s">
        <v>1828</v>
      </c>
      <c r="C381" t="s">
        <v>2357</v>
      </c>
      <c r="D381" t="s">
        <v>4281</v>
      </c>
    </row>
    <row r="382" spans="1:4" x14ac:dyDescent="0.25">
      <c r="A382" t="s">
        <v>4283</v>
      </c>
      <c r="B382" t="s">
        <v>1549</v>
      </c>
      <c r="C382" t="s">
        <v>2475</v>
      </c>
      <c r="D382" t="s">
        <v>1547</v>
      </c>
    </row>
    <row r="383" spans="1:4" x14ac:dyDescent="0.25">
      <c r="A383" t="s">
        <v>4284</v>
      </c>
      <c r="B383" t="s">
        <v>1564</v>
      </c>
      <c r="C383" t="s">
        <v>2475</v>
      </c>
      <c r="D383" t="s">
        <v>1566</v>
      </c>
    </row>
    <row r="384" spans="1:4" x14ac:dyDescent="0.25">
      <c r="A384" t="s">
        <v>4285</v>
      </c>
      <c r="B384" t="s">
        <v>1611</v>
      </c>
      <c r="C384" t="s">
        <v>2475</v>
      </c>
      <c r="D384" t="s">
        <v>1613</v>
      </c>
    </row>
    <row r="385" spans="1:4" x14ac:dyDescent="0.25">
      <c r="A385" t="s">
        <v>4286</v>
      </c>
      <c r="B385" t="s">
        <v>1620</v>
      </c>
      <c r="C385" t="s">
        <v>2475</v>
      </c>
      <c r="D385" t="s">
        <v>1622</v>
      </c>
    </row>
    <row r="386" spans="1:4" x14ac:dyDescent="0.25">
      <c r="A386" t="s">
        <v>4287</v>
      </c>
      <c r="B386" t="s">
        <v>1656</v>
      </c>
      <c r="C386" t="s">
        <v>2475</v>
      </c>
      <c r="D386" t="s">
        <v>1660</v>
      </c>
    </row>
    <row r="387" spans="1:4" x14ac:dyDescent="0.25">
      <c r="A387" t="s">
        <v>4288</v>
      </c>
      <c r="B387" t="s">
        <v>1656</v>
      </c>
      <c r="C387" t="s">
        <v>2475</v>
      </c>
      <c r="D387" t="s">
        <v>1668</v>
      </c>
    </row>
    <row r="388" spans="1:4" x14ac:dyDescent="0.25">
      <c r="A388" t="s">
        <v>4289</v>
      </c>
      <c r="B388" t="s">
        <v>1660</v>
      </c>
      <c r="C388" t="s">
        <v>2475</v>
      </c>
      <c r="D388" t="s">
        <v>1668</v>
      </c>
    </row>
    <row r="389" spans="1:4" x14ac:dyDescent="0.25">
      <c r="A389" t="s">
        <v>4290</v>
      </c>
      <c r="B389" t="s">
        <v>1811</v>
      </c>
      <c r="C389" t="s">
        <v>2475</v>
      </c>
      <c r="D389" t="s">
        <v>1813</v>
      </c>
    </row>
    <row r="390" spans="1:4" x14ac:dyDescent="0.25">
      <c r="A390" t="s">
        <v>4291</v>
      </c>
      <c r="B390" t="s">
        <v>1823</v>
      </c>
      <c r="C390" t="s">
        <v>2475</v>
      </c>
      <c r="D390" t="s">
        <v>1825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2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22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4292</v>
      </c>
      <c r="B2" t="s">
        <v>132</v>
      </c>
      <c r="C2" t="s">
        <v>2359</v>
      </c>
      <c r="D2" t="s">
        <v>1834</v>
      </c>
    </row>
    <row r="3" spans="1:4" x14ac:dyDescent="0.25">
      <c r="A3" t="s">
        <v>4293</v>
      </c>
      <c r="B3" t="s">
        <v>1833</v>
      </c>
      <c r="C3" t="s">
        <v>2357</v>
      </c>
      <c r="D3" t="s">
        <v>1834</v>
      </c>
    </row>
    <row r="4" spans="1:4" x14ac:dyDescent="0.25">
      <c r="A4" t="s">
        <v>4294</v>
      </c>
      <c r="B4" t="s">
        <v>1834</v>
      </c>
      <c r="C4" t="s">
        <v>2359</v>
      </c>
      <c r="D4" t="s">
        <v>1837</v>
      </c>
    </row>
    <row r="5" spans="1:4" x14ac:dyDescent="0.25">
      <c r="A5" t="s">
        <v>4295</v>
      </c>
      <c r="B5" t="s">
        <v>1833</v>
      </c>
      <c r="C5" t="s">
        <v>2357</v>
      </c>
      <c r="D5" t="s">
        <v>1837</v>
      </c>
    </row>
    <row r="6" spans="1:4" x14ac:dyDescent="0.25">
      <c r="A6" t="s">
        <v>4296</v>
      </c>
      <c r="B6" t="s">
        <v>1837</v>
      </c>
      <c r="C6" t="s">
        <v>2359</v>
      </c>
      <c r="D6" t="s">
        <v>1839</v>
      </c>
    </row>
    <row r="7" spans="1:4" x14ac:dyDescent="0.25">
      <c r="A7" t="s">
        <v>4297</v>
      </c>
      <c r="B7" t="s">
        <v>1838</v>
      </c>
      <c r="C7" t="s">
        <v>2357</v>
      </c>
      <c r="D7" t="s">
        <v>1839</v>
      </c>
    </row>
    <row r="8" spans="1:4" x14ac:dyDescent="0.25">
      <c r="A8" t="s">
        <v>4298</v>
      </c>
      <c r="B8" t="s">
        <v>1839</v>
      </c>
      <c r="C8" t="s">
        <v>2359</v>
      </c>
      <c r="D8" t="s">
        <v>1842</v>
      </c>
    </row>
    <row r="9" spans="1:4" x14ac:dyDescent="0.25">
      <c r="A9" t="s">
        <v>4299</v>
      </c>
      <c r="B9" t="s">
        <v>1838</v>
      </c>
      <c r="C9" t="s">
        <v>2357</v>
      </c>
      <c r="D9" t="s">
        <v>1842</v>
      </c>
    </row>
    <row r="10" spans="1:4" x14ac:dyDescent="0.25">
      <c r="A10" t="s">
        <v>4300</v>
      </c>
      <c r="B10" t="s">
        <v>1842</v>
      </c>
      <c r="C10" t="s">
        <v>2359</v>
      </c>
      <c r="D10" t="s">
        <v>1845</v>
      </c>
    </row>
    <row r="11" spans="1:4" x14ac:dyDescent="0.25">
      <c r="A11" t="s">
        <v>4301</v>
      </c>
      <c r="B11" t="s">
        <v>1843</v>
      </c>
      <c r="C11" t="s">
        <v>2357</v>
      </c>
      <c r="D11" t="s">
        <v>1845</v>
      </c>
    </row>
    <row r="12" spans="1:4" x14ac:dyDescent="0.25">
      <c r="A12" t="s">
        <v>4302</v>
      </c>
      <c r="B12" t="s">
        <v>1845</v>
      </c>
      <c r="C12" t="s">
        <v>2359</v>
      </c>
      <c r="D12" t="s">
        <v>4303</v>
      </c>
    </row>
    <row r="13" spans="1:4" x14ac:dyDescent="0.25">
      <c r="A13" t="s">
        <v>4304</v>
      </c>
      <c r="B13" t="s">
        <v>1843</v>
      </c>
      <c r="C13" t="s">
        <v>2357</v>
      </c>
      <c r="D13" t="s">
        <v>4303</v>
      </c>
    </row>
    <row r="14" spans="1:4" x14ac:dyDescent="0.25">
      <c r="A14" t="s">
        <v>4305</v>
      </c>
      <c r="B14" t="s">
        <v>1845</v>
      </c>
      <c r="C14" t="s">
        <v>2359</v>
      </c>
      <c r="D14" t="s">
        <v>4306</v>
      </c>
    </row>
    <row r="15" spans="1:4" x14ac:dyDescent="0.25">
      <c r="A15" t="s">
        <v>4307</v>
      </c>
      <c r="B15" t="s">
        <v>1843</v>
      </c>
      <c r="C15" t="s">
        <v>2357</v>
      </c>
      <c r="D15" t="s">
        <v>4306</v>
      </c>
    </row>
    <row r="16" spans="1:4" x14ac:dyDescent="0.25">
      <c r="A16" t="s">
        <v>4308</v>
      </c>
      <c r="B16" t="s">
        <v>4303</v>
      </c>
      <c r="C16" t="s">
        <v>2366</v>
      </c>
      <c r="D16" t="s">
        <v>1852</v>
      </c>
    </row>
    <row r="17" spans="1:4" x14ac:dyDescent="0.25">
      <c r="A17" t="s">
        <v>4309</v>
      </c>
      <c r="B17" t="s">
        <v>4306</v>
      </c>
      <c r="C17" t="s">
        <v>2366</v>
      </c>
      <c r="D17" t="s">
        <v>1852</v>
      </c>
    </row>
    <row r="18" spans="1:4" x14ac:dyDescent="0.25">
      <c r="A18" t="s">
        <v>4310</v>
      </c>
      <c r="B18" t="s">
        <v>1852</v>
      </c>
      <c r="C18" t="s">
        <v>2359</v>
      </c>
      <c r="D18" t="s">
        <v>1855</v>
      </c>
    </row>
    <row r="19" spans="1:4" x14ac:dyDescent="0.25">
      <c r="A19" t="s">
        <v>4311</v>
      </c>
      <c r="B19" t="s">
        <v>1853</v>
      </c>
      <c r="C19" t="s">
        <v>2357</v>
      </c>
      <c r="D19" t="s">
        <v>1855</v>
      </c>
    </row>
    <row r="20" spans="1:4" x14ac:dyDescent="0.25">
      <c r="A20" t="s">
        <v>4312</v>
      </c>
      <c r="B20" t="s">
        <v>1855</v>
      </c>
      <c r="C20" t="s">
        <v>2359</v>
      </c>
      <c r="D20" t="s">
        <v>1858</v>
      </c>
    </row>
    <row r="21" spans="1:4" x14ac:dyDescent="0.25">
      <c r="A21" t="s">
        <v>4313</v>
      </c>
      <c r="B21" t="s">
        <v>1853</v>
      </c>
      <c r="C21" t="s">
        <v>2357</v>
      </c>
      <c r="D21" t="s">
        <v>1858</v>
      </c>
    </row>
    <row r="22" spans="1:4" x14ac:dyDescent="0.25">
      <c r="A22" t="s">
        <v>4314</v>
      </c>
      <c r="B22" t="s">
        <v>1858</v>
      </c>
      <c r="C22" t="s">
        <v>2359</v>
      </c>
      <c r="D22" t="s">
        <v>1860</v>
      </c>
    </row>
    <row r="23" spans="1:4" x14ac:dyDescent="0.25">
      <c r="A23" t="s">
        <v>4315</v>
      </c>
      <c r="B23" t="s">
        <v>1859</v>
      </c>
      <c r="C23" t="s">
        <v>2357</v>
      </c>
      <c r="D23" t="s">
        <v>1860</v>
      </c>
    </row>
    <row r="24" spans="1:4" x14ac:dyDescent="0.25">
      <c r="A24" t="s">
        <v>4316</v>
      </c>
      <c r="B24" t="s">
        <v>1860</v>
      </c>
      <c r="C24" t="s">
        <v>2359</v>
      </c>
      <c r="D24" t="s">
        <v>1863</v>
      </c>
    </row>
    <row r="25" spans="1:4" x14ac:dyDescent="0.25">
      <c r="A25" t="s">
        <v>4317</v>
      </c>
      <c r="B25" t="s">
        <v>1859</v>
      </c>
      <c r="C25" t="s">
        <v>2357</v>
      </c>
      <c r="D25" t="s">
        <v>1863</v>
      </c>
    </row>
    <row r="26" spans="1:4" x14ac:dyDescent="0.25">
      <c r="A26" t="s">
        <v>4318</v>
      </c>
      <c r="B26" t="s">
        <v>1863</v>
      </c>
      <c r="C26" t="s">
        <v>2359</v>
      </c>
      <c r="D26" t="s">
        <v>1865</v>
      </c>
    </row>
    <row r="27" spans="1:4" x14ac:dyDescent="0.25">
      <c r="A27" t="s">
        <v>4319</v>
      </c>
      <c r="B27" t="s">
        <v>261</v>
      </c>
      <c r="C27" t="s">
        <v>2357</v>
      </c>
      <c r="D27" t="s">
        <v>1865</v>
      </c>
    </row>
    <row r="28" spans="1:4" x14ac:dyDescent="0.25">
      <c r="A28" t="s">
        <v>4320</v>
      </c>
      <c r="B28" t="s">
        <v>1865</v>
      </c>
      <c r="C28" t="s">
        <v>2359</v>
      </c>
      <c r="D28" t="s">
        <v>1867</v>
      </c>
    </row>
    <row r="29" spans="1:4" x14ac:dyDescent="0.25">
      <c r="A29" t="s">
        <v>4321</v>
      </c>
      <c r="B29" t="s">
        <v>261</v>
      </c>
      <c r="C29" t="s">
        <v>2357</v>
      </c>
      <c r="D29" t="s">
        <v>1867</v>
      </c>
    </row>
    <row r="30" spans="1:4" x14ac:dyDescent="0.25">
      <c r="A30" t="s">
        <v>4322</v>
      </c>
      <c r="B30" t="s">
        <v>1867</v>
      </c>
      <c r="C30" t="s">
        <v>2359</v>
      </c>
      <c r="D30" t="s">
        <v>1869</v>
      </c>
    </row>
    <row r="31" spans="1:4" x14ac:dyDescent="0.25">
      <c r="A31" t="s">
        <v>4323</v>
      </c>
      <c r="B31" t="s">
        <v>261</v>
      </c>
      <c r="C31" t="s">
        <v>2357</v>
      </c>
      <c r="D31" t="s">
        <v>1869</v>
      </c>
    </row>
    <row r="32" spans="1:4" x14ac:dyDescent="0.25">
      <c r="A32" t="s">
        <v>4324</v>
      </c>
      <c r="B32" t="s">
        <v>1869</v>
      </c>
      <c r="C32" t="s">
        <v>2359</v>
      </c>
      <c r="D32" t="s">
        <v>1871</v>
      </c>
    </row>
    <row r="33" spans="1:4" x14ac:dyDescent="0.25">
      <c r="A33" t="s">
        <v>4325</v>
      </c>
      <c r="B33" t="s">
        <v>261</v>
      </c>
      <c r="C33" t="s">
        <v>2357</v>
      </c>
      <c r="D33" t="s">
        <v>1871</v>
      </c>
    </row>
    <row r="34" spans="1:4" x14ac:dyDescent="0.25">
      <c r="A34" t="s">
        <v>4326</v>
      </c>
      <c r="B34" t="s">
        <v>1871</v>
      </c>
      <c r="C34" t="s">
        <v>2359</v>
      </c>
      <c r="D34" t="s">
        <v>1873</v>
      </c>
    </row>
    <row r="35" spans="1:4" x14ac:dyDescent="0.25">
      <c r="A35" t="s">
        <v>4327</v>
      </c>
      <c r="B35" t="s">
        <v>261</v>
      </c>
      <c r="C35" t="s">
        <v>2357</v>
      </c>
      <c r="D35" t="s">
        <v>1873</v>
      </c>
    </row>
    <row r="36" spans="1:4" x14ac:dyDescent="0.25">
      <c r="A36" t="s">
        <v>4328</v>
      </c>
      <c r="B36" t="s">
        <v>1873</v>
      </c>
      <c r="C36" t="s">
        <v>2359</v>
      </c>
      <c r="D36" t="s">
        <v>1875</v>
      </c>
    </row>
    <row r="37" spans="1:4" x14ac:dyDescent="0.25">
      <c r="A37" t="s">
        <v>4329</v>
      </c>
      <c r="B37" t="s">
        <v>261</v>
      </c>
      <c r="C37" t="s">
        <v>2357</v>
      </c>
      <c r="D37" t="s">
        <v>1875</v>
      </c>
    </row>
    <row r="38" spans="1:4" x14ac:dyDescent="0.25">
      <c r="A38" t="s">
        <v>4330</v>
      </c>
      <c r="B38" t="s">
        <v>1875</v>
      </c>
      <c r="C38" t="s">
        <v>2359</v>
      </c>
      <c r="D38" t="s">
        <v>1876</v>
      </c>
    </row>
    <row r="39" spans="1:4" x14ac:dyDescent="0.25">
      <c r="A39" t="s">
        <v>4331</v>
      </c>
      <c r="B39" t="s">
        <v>261</v>
      </c>
      <c r="C39" t="s">
        <v>2357</v>
      </c>
      <c r="D39" t="s">
        <v>1876</v>
      </c>
    </row>
    <row r="40" spans="1:4" x14ac:dyDescent="0.25">
      <c r="A40" t="s">
        <v>4332</v>
      </c>
      <c r="B40" t="s">
        <v>1876</v>
      </c>
      <c r="C40" t="s">
        <v>2359</v>
      </c>
      <c r="D40" t="s">
        <v>1879</v>
      </c>
    </row>
    <row r="41" spans="1:4" x14ac:dyDescent="0.25">
      <c r="A41" t="s">
        <v>4333</v>
      </c>
      <c r="B41" t="s">
        <v>261</v>
      </c>
      <c r="C41" t="s">
        <v>2357</v>
      </c>
      <c r="D41" t="s">
        <v>1879</v>
      </c>
    </row>
    <row r="42" spans="1:4" x14ac:dyDescent="0.25">
      <c r="A42" t="s">
        <v>4334</v>
      </c>
      <c r="B42" t="s">
        <v>1879</v>
      </c>
      <c r="C42" t="s">
        <v>2359</v>
      </c>
      <c r="D42" t="s">
        <v>1880</v>
      </c>
    </row>
    <row r="43" spans="1:4" x14ac:dyDescent="0.25">
      <c r="A43" t="s">
        <v>4335</v>
      </c>
      <c r="B43" t="s">
        <v>261</v>
      </c>
      <c r="C43" t="s">
        <v>2357</v>
      </c>
      <c r="D43" t="s">
        <v>1880</v>
      </c>
    </row>
    <row r="44" spans="1:4" x14ac:dyDescent="0.25">
      <c r="A44" t="s">
        <v>4336</v>
      </c>
      <c r="B44" t="s">
        <v>1880</v>
      </c>
      <c r="C44" t="s">
        <v>2359</v>
      </c>
      <c r="D44" t="s">
        <v>260</v>
      </c>
    </row>
    <row r="45" spans="1:4" x14ac:dyDescent="0.25">
      <c r="A45" t="s">
        <v>4337</v>
      </c>
      <c r="B45" t="s">
        <v>261</v>
      </c>
      <c r="C45" t="s">
        <v>2357</v>
      </c>
      <c r="D45" t="s">
        <v>260</v>
      </c>
    </row>
    <row r="46" spans="1:4" x14ac:dyDescent="0.25">
      <c r="A46" t="s">
        <v>4338</v>
      </c>
      <c r="B46" t="s">
        <v>132</v>
      </c>
      <c r="C46" t="s">
        <v>2359</v>
      </c>
      <c r="D46" t="s">
        <v>1884</v>
      </c>
    </row>
    <row r="47" spans="1:4" x14ac:dyDescent="0.25">
      <c r="A47" t="s">
        <v>4339</v>
      </c>
      <c r="B47" t="s">
        <v>1883</v>
      </c>
      <c r="C47" t="s">
        <v>2357</v>
      </c>
      <c r="D47" t="s">
        <v>1884</v>
      </c>
    </row>
    <row r="48" spans="1:4" x14ac:dyDescent="0.25">
      <c r="A48" t="s">
        <v>4340</v>
      </c>
      <c r="B48" t="s">
        <v>1884</v>
      </c>
      <c r="C48" t="s">
        <v>2359</v>
      </c>
      <c r="D48" t="s">
        <v>4341</v>
      </c>
    </row>
    <row r="49" spans="1:4" x14ac:dyDescent="0.25">
      <c r="A49" t="s">
        <v>4342</v>
      </c>
      <c r="B49" t="s">
        <v>1883</v>
      </c>
      <c r="C49" t="s">
        <v>2357</v>
      </c>
      <c r="D49" t="s">
        <v>4341</v>
      </c>
    </row>
    <row r="50" spans="1:4" x14ac:dyDescent="0.25">
      <c r="A50" t="s">
        <v>4343</v>
      </c>
      <c r="B50" t="s">
        <v>132</v>
      </c>
      <c r="C50" t="s">
        <v>2359</v>
      </c>
      <c r="D50" t="s">
        <v>1888</v>
      </c>
    </row>
    <row r="51" spans="1:4" x14ac:dyDescent="0.25">
      <c r="A51" t="s">
        <v>4344</v>
      </c>
      <c r="B51" t="s">
        <v>1887</v>
      </c>
      <c r="C51" t="s">
        <v>2357</v>
      </c>
      <c r="D51" t="s">
        <v>1888</v>
      </c>
    </row>
    <row r="52" spans="1:4" x14ac:dyDescent="0.25">
      <c r="A52" t="s">
        <v>4345</v>
      </c>
      <c r="B52" t="s">
        <v>1888</v>
      </c>
      <c r="C52" t="s">
        <v>2359</v>
      </c>
      <c r="D52" t="s">
        <v>4346</v>
      </c>
    </row>
    <row r="53" spans="1:4" x14ac:dyDescent="0.25">
      <c r="A53" t="s">
        <v>4347</v>
      </c>
      <c r="B53" t="s">
        <v>1887</v>
      </c>
      <c r="C53" t="s">
        <v>2357</v>
      </c>
      <c r="D53" t="s">
        <v>4346</v>
      </c>
    </row>
    <row r="54" spans="1:4" x14ac:dyDescent="0.25">
      <c r="A54" t="s">
        <v>4348</v>
      </c>
      <c r="B54" t="s">
        <v>132</v>
      </c>
      <c r="C54" t="s">
        <v>2359</v>
      </c>
      <c r="D54" t="s">
        <v>1892</v>
      </c>
    </row>
    <row r="55" spans="1:4" x14ac:dyDescent="0.25">
      <c r="A55" t="s">
        <v>4349</v>
      </c>
      <c r="B55" t="s">
        <v>1891</v>
      </c>
      <c r="C55" t="s">
        <v>2357</v>
      </c>
      <c r="D55" t="s">
        <v>1892</v>
      </c>
    </row>
    <row r="56" spans="1:4" x14ac:dyDescent="0.25">
      <c r="A56" t="s">
        <v>4350</v>
      </c>
      <c r="B56" t="s">
        <v>1892</v>
      </c>
      <c r="C56" t="s">
        <v>2359</v>
      </c>
      <c r="D56" t="s">
        <v>4351</v>
      </c>
    </row>
    <row r="57" spans="1:4" x14ac:dyDescent="0.25">
      <c r="A57" t="s">
        <v>4352</v>
      </c>
      <c r="B57" t="s">
        <v>1891</v>
      </c>
      <c r="C57" t="s">
        <v>2357</v>
      </c>
      <c r="D57" t="s">
        <v>4351</v>
      </c>
    </row>
    <row r="58" spans="1:4" x14ac:dyDescent="0.25">
      <c r="A58" t="s">
        <v>4353</v>
      </c>
      <c r="B58" t="s">
        <v>132</v>
      </c>
      <c r="C58" t="s">
        <v>2359</v>
      </c>
      <c r="D58" t="s">
        <v>1896</v>
      </c>
    </row>
    <row r="59" spans="1:4" x14ac:dyDescent="0.25">
      <c r="A59" t="s">
        <v>4354</v>
      </c>
      <c r="B59" t="s">
        <v>1895</v>
      </c>
      <c r="C59" t="s">
        <v>2357</v>
      </c>
      <c r="D59" t="s">
        <v>1896</v>
      </c>
    </row>
    <row r="60" spans="1:4" x14ac:dyDescent="0.25">
      <c r="A60" t="s">
        <v>4355</v>
      </c>
      <c r="B60" t="s">
        <v>1896</v>
      </c>
      <c r="C60" t="s">
        <v>2359</v>
      </c>
      <c r="D60" t="s">
        <v>4356</v>
      </c>
    </row>
    <row r="61" spans="1:4" x14ac:dyDescent="0.25">
      <c r="A61" t="s">
        <v>4357</v>
      </c>
      <c r="B61" t="s">
        <v>1895</v>
      </c>
      <c r="C61" t="s">
        <v>2357</v>
      </c>
      <c r="D61" t="s">
        <v>4356</v>
      </c>
    </row>
    <row r="62" spans="1:4" x14ac:dyDescent="0.25">
      <c r="A62" t="s">
        <v>4358</v>
      </c>
      <c r="B62" t="s">
        <v>132</v>
      </c>
      <c r="C62" t="s">
        <v>2359</v>
      </c>
      <c r="D62" t="s">
        <v>1900</v>
      </c>
    </row>
    <row r="63" spans="1:4" x14ac:dyDescent="0.25">
      <c r="A63" t="s">
        <v>4359</v>
      </c>
      <c r="B63" t="s">
        <v>1460</v>
      </c>
      <c r="C63" t="s">
        <v>2399</v>
      </c>
      <c r="D63" t="s">
        <v>1900</v>
      </c>
    </row>
    <row r="64" spans="1:4" x14ac:dyDescent="0.25">
      <c r="A64" t="s">
        <v>4360</v>
      </c>
      <c r="B64" t="s">
        <v>1899</v>
      </c>
      <c r="C64" t="s">
        <v>2357</v>
      </c>
      <c r="D64" t="s">
        <v>1900</v>
      </c>
    </row>
    <row r="65" spans="1:4" x14ac:dyDescent="0.25">
      <c r="A65" t="s">
        <v>4361</v>
      </c>
      <c r="B65" t="s">
        <v>1900</v>
      </c>
      <c r="C65" t="s">
        <v>2359</v>
      </c>
      <c r="D65" t="s">
        <v>4362</v>
      </c>
    </row>
    <row r="66" spans="1:4" x14ac:dyDescent="0.25">
      <c r="A66" t="s">
        <v>4363</v>
      </c>
      <c r="B66" t="s">
        <v>1460</v>
      </c>
      <c r="C66" t="s">
        <v>2399</v>
      </c>
      <c r="D66" t="s">
        <v>4362</v>
      </c>
    </row>
    <row r="67" spans="1:4" x14ac:dyDescent="0.25">
      <c r="A67" t="s">
        <v>4364</v>
      </c>
      <c r="B67" t="s">
        <v>1899</v>
      </c>
      <c r="C67" t="s">
        <v>2357</v>
      </c>
      <c r="D67" t="s">
        <v>4362</v>
      </c>
    </row>
    <row r="68" spans="1:4" x14ac:dyDescent="0.25">
      <c r="A68" t="s">
        <v>4365</v>
      </c>
      <c r="B68" t="s">
        <v>132</v>
      </c>
      <c r="C68" t="s">
        <v>2359</v>
      </c>
      <c r="D68" t="s">
        <v>1904</v>
      </c>
    </row>
    <row r="69" spans="1:4" x14ac:dyDescent="0.25">
      <c r="A69" t="s">
        <v>4366</v>
      </c>
      <c r="B69" t="s">
        <v>1903</v>
      </c>
      <c r="C69" t="s">
        <v>2357</v>
      </c>
      <c r="D69" t="s">
        <v>1904</v>
      </c>
    </row>
    <row r="70" spans="1:4" x14ac:dyDescent="0.25">
      <c r="A70" t="s">
        <v>4367</v>
      </c>
      <c r="B70" t="s">
        <v>1904</v>
      </c>
      <c r="C70" t="s">
        <v>2359</v>
      </c>
      <c r="D70" t="s">
        <v>4368</v>
      </c>
    </row>
    <row r="71" spans="1:4" x14ac:dyDescent="0.25">
      <c r="A71" t="s">
        <v>4369</v>
      </c>
      <c r="B71" t="s">
        <v>1903</v>
      </c>
      <c r="C71" t="s">
        <v>2357</v>
      </c>
      <c r="D71" t="s">
        <v>4368</v>
      </c>
    </row>
    <row r="72" spans="1:4" x14ac:dyDescent="0.25">
      <c r="A72" t="s">
        <v>4370</v>
      </c>
      <c r="B72" t="s">
        <v>1846</v>
      </c>
      <c r="C72" t="s">
        <v>2475</v>
      </c>
      <c r="D72" t="s">
        <v>1848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22"/>
  <sheetViews>
    <sheetView workbookViewId="0">
      <selection activeCell="T35" sqref="T34:T35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22" customWidth="1"/>
  </cols>
  <sheetData>
    <row r="1" spans="1:4" x14ac:dyDescent="0.25">
      <c r="A1" s="6" t="s">
        <v>2351</v>
      </c>
      <c r="B1" s="6" t="s">
        <v>2352</v>
      </c>
      <c r="C1" s="6" t="s">
        <v>2353</v>
      </c>
      <c r="D1" s="6" t="s">
        <v>2354</v>
      </c>
    </row>
    <row r="2" spans="1:4" x14ac:dyDescent="0.25">
      <c r="A2" t="s">
        <v>4371</v>
      </c>
      <c r="B2" t="s">
        <v>942</v>
      </c>
      <c r="C2" t="s">
        <v>2359</v>
      </c>
      <c r="D2" t="s">
        <v>1909</v>
      </c>
    </row>
    <row r="3" spans="1:4" x14ac:dyDescent="0.25">
      <c r="A3" t="s">
        <v>4372</v>
      </c>
      <c r="B3" t="s">
        <v>1908</v>
      </c>
      <c r="C3" t="s">
        <v>2357</v>
      </c>
      <c r="D3" t="s">
        <v>1909</v>
      </c>
    </row>
    <row r="4" spans="1:4" x14ac:dyDescent="0.25">
      <c r="A4" t="s">
        <v>4373</v>
      </c>
      <c r="B4" t="s">
        <v>1909</v>
      </c>
      <c r="C4" t="s">
        <v>2359</v>
      </c>
      <c r="D4" t="s">
        <v>1913</v>
      </c>
    </row>
    <row r="5" spans="1:4" x14ac:dyDescent="0.25">
      <c r="A5" t="s">
        <v>4374</v>
      </c>
      <c r="B5" t="s">
        <v>1908</v>
      </c>
      <c r="C5" t="s">
        <v>2357</v>
      </c>
      <c r="D5" t="s">
        <v>1913</v>
      </c>
    </row>
    <row r="6" spans="1:4" x14ac:dyDescent="0.25">
      <c r="A6" t="s">
        <v>4375</v>
      </c>
      <c r="B6" t="s">
        <v>1913</v>
      </c>
      <c r="C6" t="s">
        <v>2359</v>
      </c>
      <c r="D6" t="s">
        <v>4376</v>
      </c>
    </row>
    <row r="7" spans="1:4" x14ac:dyDescent="0.25">
      <c r="A7" t="s">
        <v>4377</v>
      </c>
      <c r="B7" t="s">
        <v>1914</v>
      </c>
      <c r="C7" t="s">
        <v>2357</v>
      </c>
      <c r="D7" t="s">
        <v>4376</v>
      </c>
    </row>
    <row r="8" spans="1:4" x14ac:dyDescent="0.25">
      <c r="A8" t="s">
        <v>4378</v>
      </c>
      <c r="B8" t="s">
        <v>1913</v>
      </c>
      <c r="C8" t="s">
        <v>2359</v>
      </c>
      <c r="D8" t="s">
        <v>1917</v>
      </c>
    </row>
    <row r="9" spans="1:4" x14ac:dyDescent="0.25">
      <c r="A9" t="s">
        <v>4379</v>
      </c>
      <c r="B9" t="s">
        <v>1914</v>
      </c>
      <c r="C9" t="s">
        <v>2357</v>
      </c>
      <c r="D9" t="s">
        <v>1917</v>
      </c>
    </row>
    <row r="10" spans="1:4" x14ac:dyDescent="0.25">
      <c r="A10" t="s">
        <v>4380</v>
      </c>
      <c r="B10" t="s">
        <v>1917</v>
      </c>
      <c r="C10" t="s">
        <v>2359</v>
      </c>
      <c r="D10" t="s">
        <v>4381</v>
      </c>
    </row>
    <row r="11" spans="1:4" x14ac:dyDescent="0.25">
      <c r="A11" t="s">
        <v>4382</v>
      </c>
      <c r="B11" t="s">
        <v>1917</v>
      </c>
      <c r="C11" t="s">
        <v>2359</v>
      </c>
      <c r="D11" t="s">
        <v>1920</v>
      </c>
    </row>
    <row r="12" spans="1:4" x14ac:dyDescent="0.25">
      <c r="A12" t="s">
        <v>4383</v>
      </c>
      <c r="B12" t="s">
        <v>1920</v>
      </c>
      <c r="C12" t="s">
        <v>2359</v>
      </c>
      <c r="D12" t="s">
        <v>1922</v>
      </c>
    </row>
    <row r="13" spans="1:4" x14ac:dyDescent="0.25">
      <c r="A13" t="s">
        <v>4384</v>
      </c>
      <c r="B13" t="s">
        <v>1922</v>
      </c>
      <c r="C13" t="s">
        <v>2359</v>
      </c>
      <c r="D13" t="s">
        <v>1924</v>
      </c>
    </row>
    <row r="14" spans="1:4" x14ac:dyDescent="0.25">
      <c r="A14" t="s">
        <v>4385</v>
      </c>
      <c r="B14" t="s">
        <v>1924</v>
      </c>
      <c r="C14" t="s">
        <v>2359</v>
      </c>
      <c r="D14" t="s">
        <v>1926</v>
      </c>
    </row>
    <row r="15" spans="1:4" x14ac:dyDescent="0.25">
      <c r="A15" t="s">
        <v>4386</v>
      </c>
      <c r="B15" t="s">
        <v>1926</v>
      </c>
      <c r="C15" t="s">
        <v>2359</v>
      </c>
      <c r="D15" t="s">
        <v>1928</v>
      </c>
    </row>
    <row r="16" spans="1:4" x14ac:dyDescent="0.25">
      <c r="A16" t="s">
        <v>4387</v>
      </c>
      <c r="B16" t="s">
        <v>1928</v>
      </c>
      <c r="C16" t="s">
        <v>2359</v>
      </c>
      <c r="D16" t="s">
        <v>1930</v>
      </c>
    </row>
    <row r="17" spans="1:4" x14ac:dyDescent="0.25">
      <c r="A17" t="s">
        <v>4388</v>
      </c>
      <c r="B17" t="s">
        <v>1930</v>
      </c>
      <c r="C17" t="s">
        <v>2359</v>
      </c>
      <c r="D17" t="s">
        <v>1932</v>
      </c>
    </row>
    <row r="18" spans="1:4" x14ac:dyDescent="0.25">
      <c r="A18" t="s">
        <v>4389</v>
      </c>
      <c r="B18" t="s">
        <v>1932</v>
      </c>
      <c r="C18" t="s">
        <v>2359</v>
      </c>
      <c r="D18" t="s">
        <v>1935</v>
      </c>
    </row>
    <row r="19" spans="1:4" x14ac:dyDescent="0.25">
      <c r="A19" t="s">
        <v>4390</v>
      </c>
      <c r="B19" t="s">
        <v>1935</v>
      </c>
      <c r="C19" t="s">
        <v>2359</v>
      </c>
      <c r="D19" t="s">
        <v>4391</v>
      </c>
    </row>
    <row r="20" spans="1:4" x14ac:dyDescent="0.25">
      <c r="A20" t="s">
        <v>4392</v>
      </c>
      <c r="B20" t="s">
        <v>1936</v>
      </c>
      <c r="C20" t="s">
        <v>2357</v>
      </c>
      <c r="D20" t="s">
        <v>4391</v>
      </c>
    </row>
    <row r="21" spans="1:4" x14ac:dyDescent="0.25">
      <c r="A21" t="s">
        <v>4393</v>
      </c>
      <c r="B21" t="s">
        <v>1935</v>
      </c>
      <c r="C21" t="s">
        <v>2359</v>
      </c>
      <c r="D21" t="s">
        <v>1940</v>
      </c>
    </row>
    <row r="22" spans="1:4" x14ac:dyDescent="0.25">
      <c r="A22" t="s">
        <v>4394</v>
      </c>
      <c r="B22" t="s">
        <v>1936</v>
      </c>
      <c r="C22" t="s">
        <v>2357</v>
      </c>
      <c r="D22" t="s">
        <v>1940</v>
      </c>
    </row>
    <row r="23" spans="1:4" x14ac:dyDescent="0.25">
      <c r="A23" t="s">
        <v>4395</v>
      </c>
      <c r="B23" t="s">
        <v>1940</v>
      </c>
      <c r="C23" t="s">
        <v>2359</v>
      </c>
      <c r="D23" t="s">
        <v>1945</v>
      </c>
    </row>
    <row r="24" spans="1:4" x14ac:dyDescent="0.25">
      <c r="A24" t="s">
        <v>4396</v>
      </c>
      <c r="B24" t="s">
        <v>1941</v>
      </c>
      <c r="C24" t="s">
        <v>2357</v>
      </c>
      <c r="D24" t="s">
        <v>1945</v>
      </c>
    </row>
    <row r="25" spans="1:4" x14ac:dyDescent="0.25">
      <c r="A25" t="s">
        <v>4397</v>
      </c>
      <c r="B25" t="s">
        <v>1940</v>
      </c>
      <c r="C25" t="s">
        <v>2359</v>
      </c>
      <c r="D25" t="s">
        <v>4398</v>
      </c>
    </row>
    <row r="26" spans="1:4" x14ac:dyDescent="0.25">
      <c r="A26" t="s">
        <v>4399</v>
      </c>
      <c r="B26" t="s">
        <v>1941</v>
      </c>
      <c r="C26" t="s">
        <v>2357</v>
      </c>
      <c r="D26" t="s">
        <v>4398</v>
      </c>
    </row>
    <row r="27" spans="1:4" x14ac:dyDescent="0.25">
      <c r="A27" t="s">
        <v>4400</v>
      </c>
      <c r="B27" t="s">
        <v>1945</v>
      </c>
      <c r="C27" t="s">
        <v>2359</v>
      </c>
      <c r="D27" t="s">
        <v>1947</v>
      </c>
    </row>
    <row r="28" spans="1:4" x14ac:dyDescent="0.25">
      <c r="A28" t="s">
        <v>4401</v>
      </c>
      <c r="B28" t="s">
        <v>1947</v>
      </c>
      <c r="C28" t="s">
        <v>2359</v>
      </c>
      <c r="D28" t="s">
        <v>1949</v>
      </c>
    </row>
    <row r="29" spans="1:4" x14ac:dyDescent="0.25">
      <c r="A29" t="s">
        <v>4402</v>
      </c>
      <c r="B29" t="s">
        <v>1949</v>
      </c>
      <c r="C29" t="s">
        <v>2359</v>
      </c>
      <c r="D29" t="s">
        <v>1951</v>
      </c>
    </row>
    <row r="30" spans="1:4" x14ac:dyDescent="0.25">
      <c r="A30" t="s">
        <v>4403</v>
      </c>
      <c r="B30" t="s">
        <v>1951</v>
      </c>
      <c r="C30" t="s">
        <v>2359</v>
      </c>
      <c r="D30" t="s">
        <v>1953</v>
      </c>
    </row>
    <row r="31" spans="1:4" x14ac:dyDescent="0.25">
      <c r="A31" t="s">
        <v>4404</v>
      </c>
      <c r="B31" t="s">
        <v>1953</v>
      </c>
      <c r="C31" t="s">
        <v>2359</v>
      </c>
      <c r="D31" t="s">
        <v>4405</v>
      </c>
    </row>
    <row r="32" spans="1:4" x14ac:dyDescent="0.25">
      <c r="A32" t="s">
        <v>4406</v>
      </c>
      <c r="B32" t="s">
        <v>1953</v>
      </c>
      <c r="C32" t="s">
        <v>2359</v>
      </c>
      <c r="D32" t="s">
        <v>4407</v>
      </c>
    </row>
    <row r="33" spans="1:4" x14ac:dyDescent="0.25">
      <c r="A33" t="s">
        <v>4408</v>
      </c>
      <c r="B33" t="s">
        <v>4405</v>
      </c>
      <c r="C33" t="s">
        <v>2366</v>
      </c>
      <c r="D33" t="s">
        <v>1959</v>
      </c>
    </row>
    <row r="34" spans="1:4" x14ac:dyDescent="0.25">
      <c r="A34" t="s">
        <v>4409</v>
      </c>
      <c r="B34" t="s">
        <v>4407</v>
      </c>
      <c r="C34" t="s">
        <v>2366</v>
      </c>
      <c r="D34" t="s">
        <v>1959</v>
      </c>
    </row>
    <row r="35" spans="1:4" x14ac:dyDescent="0.25">
      <c r="A35" t="s">
        <v>4410</v>
      </c>
      <c r="B35" t="s">
        <v>1959</v>
      </c>
      <c r="C35" t="s">
        <v>2359</v>
      </c>
      <c r="D35" t="s">
        <v>1962</v>
      </c>
    </row>
    <row r="36" spans="1:4" x14ac:dyDescent="0.25">
      <c r="A36" t="s">
        <v>4411</v>
      </c>
      <c r="B36" t="s">
        <v>1962</v>
      </c>
      <c r="C36" t="s">
        <v>2359</v>
      </c>
      <c r="D36" t="s">
        <v>4412</v>
      </c>
    </row>
    <row r="37" spans="1:4" x14ac:dyDescent="0.25">
      <c r="A37" t="s">
        <v>4413</v>
      </c>
      <c r="B37" t="s">
        <v>1963</v>
      </c>
      <c r="C37" t="s">
        <v>2357</v>
      </c>
      <c r="D37" t="s">
        <v>4412</v>
      </c>
    </row>
    <row r="38" spans="1:4" x14ac:dyDescent="0.25">
      <c r="A38" t="s">
        <v>4414</v>
      </c>
      <c r="B38" t="s">
        <v>1962</v>
      </c>
      <c r="C38" t="s">
        <v>2359</v>
      </c>
      <c r="D38" t="s">
        <v>1966</v>
      </c>
    </row>
    <row r="39" spans="1:4" x14ac:dyDescent="0.25">
      <c r="A39" t="s">
        <v>4415</v>
      </c>
      <c r="B39" t="s">
        <v>1963</v>
      </c>
      <c r="C39" t="s">
        <v>2357</v>
      </c>
      <c r="D39" t="s">
        <v>1966</v>
      </c>
    </row>
    <row r="40" spans="1:4" x14ac:dyDescent="0.25">
      <c r="A40" t="s">
        <v>4416</v>
      </c>
      <c r="B40" t="s">
        <v>1966</v>
      </c>
      <c r="C40" t="s">
        <v>2359</v>
      </c>
      <c r="D40" t="s">
        <v>4417</v>
      </c>
    </row>
    <row r="41" spans="1:4" x14ac:dyDescent="0.25">
      <c r="A41" t="s">
        <v>4418</v>
      </c>
      <c r="B41" t="s">
        <v>1966</v>
      </c>
      <c r="C41" t="s">
        <v>2359</v>
      </c>
      <c r="D41" t="s">
        <v>4419</v>
      </c>
    </row>
    <row r="42" spans="1:4" x14ac:dyDescent="0.25">
      <c r="A42" t="s">
        <v>4420</v>
      </c>
      <c r="B42" t="s">
        <v>4417</v>
      </c>
      <c r="C42" t="s">
        <v>2366</v>
      </c>
      <c r="D42" t="s">
        <v>1972</v>
      </c>
    </row>
    <row r="43" spans="1:4" x14ac:dyDescent="0.25">
      <c r="A43" t="s">
        <v>4421</v>
      </c>
      <c r="B43" t="s">
        <v>4419</v>
      </c>
      <c r="C43" t="s">
        <v>2366</v>
      </c>
      <c r="D43" t="s">
        <v>1972</v>
      </c>
    </row>
    <row r="44" spans="1:4" x14ac:dyDescent="0.25">
      <c r="A44" t="s">
        <v>4422</v>
      </c>
      <c r="B44" t="s">
        <v>1972</v>
      </c>
      <c r="C44" t="s">
        <v>2359</v>
      </c>
      <c r="D44" t="s">
        <v>1975</v>
      </c>
    </row>
    <row r="45" spans="1:4" x14ac:dyDescent="0.25">
      <c r="A45" t="s">
        <v>4423</v>
      </c>
      <c r="B45" t="s">
        <v>1975</v>
      </c>
      <c r="C45" t="s">
        <v>2359</v>
      </c>
      <c r="D45" t="s">
        <v>4424</v>
      </c>
    </row>
    <row r="46" spans="1:4" x14ac:dyDescent="0.25">
      <c r="A46" t="s">
        <v>4425</v>
      </c>
      <c r="B46" t="s">
        <v>1976</v>
      </c>
      <c r="C46" t="s">
        <v>2357</v>
      </c>
      <c r="D46" t="s">
        <v>4424</v>
      </c>
    </row>
    <row r="47" spans="1:4" x14ac:dyDescent="0.25">
      <c r="A47" t="s">
        <v>4426</v>
      </c>
      <c r="B47" t="s">
        <v>1975</v>
      </c>
      <c r="C47" t="s">
        <v>2359</v>
      </c>
      <c r="D47" t="s">
        <v>1979</v>
      </c>
    </row>
    <row r="48" spans="1:4" x14ac:dyDescent="0.25">
      <c r="A48" t="s">
        <v>4427</v>
      </c>
      <c r="B48" t="s">
        <v>1976</v>
      </c>
      <c r="C48" t="s">
        <v>2357</v>
      </c>
      <c r="D48" t="s">
        <v>1979</v>
      </c>
    </row>
    <row r="49" spans="1:4" x14ac:dyDescent="0.25">
      <c r="A49" t="s">
        <v>4428</v>
      </c>
      <c r="B49" t="s">
        <v>1979</v>
      </c>
      <c r="C49" t="s">
        <v>2359</v>
      </c>
      <c r="D49" t="s">
        <v>1981</v>
      </c>
    </row>
    <row r="50" spans="1:4" x14ac:dyDescent="0.25">
      <c r="A50" t="s">
        <v>4429</v>
      </c>
      <c r="B50" t="s">
        <v>1981</v>
      </c>
      <c r="C50" t="s">
        <v>2359</v>
      </c>
      <c r="D50" t="s">
        <v>1984</v>
      </c>
    </row>
    <row r="51" spans="1:4" x14ac:dyDescent="0.25">
      <c r="A51" t="s">
        <v>4430</v>
      </c>
      <c r="B51" t="s">
        <v>1984</v>
      </c>
      <c r="C51" t="s">
        <v>2359</v>
      </c>
      <c r="D51" t="s">
        <v>1986</v>
      </c>
    </row>
    <row r="52" spans="1:4" x14ac:dyDescent="0.25">
      <c r="A52" t="s">
        <v>4431</v>
      </c>
      <c r="B52" t="s">
        <v>1985</v>
      </c>
      <c r="C52" t="s">
        <v>2357</v>
      </c>
      <c r="D52" t="s">
        <v>1986</v>
      </c>
    </row>
    <row r="53" spans="1:4" x14ac:dyDescent="0.25">
      <c r="A53" t="s">
        <v>4432</v>
      </c>
      <c r="B53" t="s">
        <v>1986</v>
      </c>
      <c r="C53" t="s">
        <v>2359</v>
      </c>
      <c r="D53" t="s">
        <v>1989</v>
      </c>
    </row>
    <row r="54" spans="1:4" x14ac:dyDescent="0.25">
      <c r="A54" t="s">
        <v>4433</v>
      </c>
      <c r="B54" t="s">
        <v>1985</v>
      </c>
      <c r="C54" t="s">
        <v>2357</v>
      </c>
      <c r="D54" t="s">
        <v>1989</v>
      </c>
    </row>
    <row r="55" spans="1:4" x14ac:dyDescent="0.25">
      <c r="A55" t="s">
        <v>4434</v>
      </c>
      <c r="B55" t="s">
        <v>1989</v>
      </c>
      <c r="C55" t="s">
        <v>2359</v>
      </c>
      <c r="D55" t="s">
        <v>4435</v>
      </c>
    </row>
    <row r="56" spans="1:4" x14ac:dyDescent="0.25">
      <c r="A56" t="s">
        <v>4436</v>
      </c>
      <c r="B56" t="s">
        <v>1990</v>
      </c>
      <c r="C56" t="s">
        <v>2357</v>
      </c>
      <c r="D56" t="s">
        <v>4435</v>
      </c>
    </row>
    <row r="57" spans="1:4" x14ac:dyDescent="0.25">
      <c r="A57" t="s">
        <v>4437</v>
      </c>
      <c r="B57" t="s">
        <v>1989</v>
      </c>
      <c r="C57" t="s">
        <v>2359</v>
      </c>
      <c r="D57" t="s">
        <v>1993</v>
      </c>
    </row>
    <row r="58" spans="1:4" x14ac:dyDescent="0.25">
      <c r="A58" t="s">
        <v>4438</v>
      </c>
      <c r="B58" t="s">
        <v>1990</v>
      </c>
      <c r="C58" t="s">
        <v>2357</v>
      </c>
      <c r="D58" t="s">
        <v>1993</v>
      </c>
    </row>
    <row r="59" spans="1:4" x14ac:dyDescent="0.25">
      <c r="A59" t="s">
        <v>4439</v>
      </c>
      <c r="B59" t="s">
        <v>1993</v>
      </c>
      <c r="C59" t="s">
        <v>2359</v>
      </c>
      <c r="D59" t="s">
        <v>1995</v>
      </c>
    </row>
    <row r="60" spans="1:4" x14ac:dyDescent="0.25">
      <c r="A60" t="s">
        <v>4440</v>
      </c>
      <c r="B60" t="s">
        <v>1990</v>
      </c>
      <c r="C60" t="s">
        <v>2357</v>
      </c>
      <c r="D60" t="s">
        <v>1995</v>
      </c>
    </row>
    <row r="61" spans="1:4" x14ac:dyDescent="0.25">
      <c r="A61" t="s">
        <v>4441</v>
      </c>
      <c r="B61" t="s">
        <v>1995</v>
      </c>
      <c r="C61" t="s">
        <v>2359</v>
      </c>
      <c r="D61" t="s">
        <v>1996</v>
      </c>
    </row>
    <row r="62" spans="1:4" x14ac:dyDescent="0.25">
      <c r="A62" t="s">
        <v>4442</v>
      </c>
      <c r="B62" t="s">
        <v>1990</v>
      </c>
      <c r="C62" t="s">
        <v>2357</v>
      </c>
      <c r="D62" t="s">
        <v>1996</v>
      </c>
    </row>
    <row r="63" spans="1:4" x14ac:dyDescent="0.25">
      <c r="A63" t="s">
        <v>4443</v>
      </c>
      <c r="B63" t="s">
        <v>1996</v>
      </c>
      <c r="C63" t="s">
        <v>2359</v>
      </c>
      <c r="D63" t="s">
        <v>1999</v>
      </c>
    </row>
    <row r="64" spans="1:4" x14ac:dyDescent="0.25">
      <c r="A64" t="s">
        <v>4444</v>
      </c>
      <c r="B64" t="s">
        <v>1990</v>
      </c>
      <c r="C64" t="s">
        <v>2357</v>
      </c>
      <c r="D64" t="s">
        <v>1999</v>
      </c>
    </row>
    <row r="65" spans="1:4" x14ac:dyDescent="0.25">
      <c r="A65" t="s">
        <v>4445</v>
      </c>
      <c r="B65" t="s">
        <v>1999</v>
      </c>
      <c r="C65" t="s">
        <v>2359</v>
      </c>
      <c r="D65" t="s">
        <v>2001</v>
      </c>
    </row>
    <row r="66" spans="1:4" x14ac:dyDescent="0.25">
      <c r="A66" t="s">
        <v>4446</v>
      </c>
      <c r="B66" t="s">
        <v>1990</v>
      </c>
      <c r="C66" t="s">
        <v>2357</v>
      </c>
      <c r="D66" t="s">
        <v>2001</v>
      </c>
    </row>
    <row r="67" spans="1:4" x14ac:dyDescent="0.25">
      <c r="A67" t="s">
        <v>4447</v>
      </c>
      <c r="B67" t="s">
        <v>2001</v>
      </c>
      <c r="C67" t="s">
        <v>2359</v>
      </c>
      <c r="D67" t="s">
        <v>2003</v>
      </c>
    </row>
    <row r="68" spans="1:4" x14ac:dyDescent="0.25">
      <c r="A68" t="s">
        <v>4448</v>
      </c>
      <c r="B68" t="s">
        <v>1990</v>
      </c>
      <c r="C68" t="s">
        <v>2357</v>
      </c>
      <c r="D68" t="s">
        <v>2003</v>
      </c>
    </row>
    <row r="69" spans="1:4" x14ac:dyDescent="0.25">
      <c r="A69" t="s">
        <v>4449</v>
      </c>
      <c r="B69" t="s">
        <v>2003</v>
      </c>
      <c r="C69" t="s">
        <v>2359</v>
      </c>
      <c r="D69" t="s">
        <v>2005</v>
      </c>
    </row>
    <row r="70" spans="1:4" x14ac:dyDescent="0.25">
      <c r="A70" t="s">
        <v>4450</v>
      </c>
      <c r="B70" t="s">
        <v>1990</v>
      </c>
      <c r="C70" t="s">
        <v>2357</v>
      </c>
      <c r="D70" t="s">
        <v>2005</v>
      </c>
    </row>
    <row r="71" spans="1:4" x14ac:dyDescent="0.25">
      <c r="A71" t="s">
        <v>4451</v>
      </c>
      <c r="B71" t="s">
        <v>2005</v>
      </c>
      <c r="C71" t="s">
        <v>2359</v>
      </c>
      <c r="D71" t="s">
        <v>2008</v>
      </c>
    </row>
    <row r="72" spans="1:4" x14ac:dyDescent="0.25">
      <c r="A72" t="s">
        <v>4452</v>
      </c>
      <c r="B72" t="s">
        <v>1990</v>
      </c>
      <c r="C72" t="s">
        <v>2357</v>
      </c>
      <c r="D72" t="s">
        <v>2008</v>
      </c>
    </row>
    <row r="73" spans="1:4" x14ac:dyDescent="0.25">
      <c r="A73" t="s">
        <v>4453</v>
      </c>
      <c r="B73" t="s">
        <v>2008</v>
      </c>
      <c r="C73" t="s">
        <v>2359</v>
      </c>
      <c r="D73" t="s">
        <v>2010</v>
      </c>
    </row>
    <row r="74" spans="1:4" x14ac:dyDescent="0.25">
      <c r="A74" t="s">
        <v>4454</v>
      </c>
      <c r="B74" t="s">
        <v>1990</v>
      </c>
      <c r="C74" t="s">
        <v>2357</v>
      </c>
      <c r="D74" t="s">
        <v>2010</v>
      </c>
    </row>
    <row r="75" spans="1:4" x14ac:dyDescent="0.25">
      <c r="A75" t="s">
        <v>4455</v>
      </c>
      <c r="B75" t="s">
        <v>2010</v>
      </c>
      <c r="C75" t="s">
        <v>2359</v>
      </c>
      <c r="D75" t="s">
        <v>2012</v>
      </c>
    </row>
    <row r="76" spans="1:4" x14ac:dyDescent="0.25">
      <c r="A76" t="s">
        <v>4456</v>
      </c>
      <c r="B76" t="s">
        <v>1990</v>
      </c>
      <c r="C76" t="s">
        <v>2357</v>
      </c>
      <c r="D76" t="s">
        <v>2012</v>
      </c>
    </row>
    <row r="77" spans="1:4" x14ac:dyDescent="0.25">
      <c r="A77" t="s">
        <v>4457</v>
      </c>
      <c r="B77" t="s">
        <v>2012</v>
      </c>
      <c r="C77" t="s">
        <v>2359</v>
      </c>
      <c r="D77" t="s">
        <v>2014</v>
      </c>
    </row>
    <row r="78" spans="1:4" x14ac:dyDescent="0.25">
      <c r="A78" t="s">
        <v>4458</v>
      </c>
      <c r="B78" t="s">
        <v>1990</v>
      </c>
      <c r="C78" t="s">
        <v>2357</v>
      </c>
      <c r="D78" t="s">
        <v>2014</v>
      </c>
    </row>
    <row r="79" spans="1:4" x14ac:dyDescent="0.25">
      <c r="A79" t="s">
        <v>4459</v>
      </c>
      <c r="B79" t="s">
        <v>2014</v>
      </c>
      <c r="C79" t="s">
        <v>2359</v>
      </c>
      <c r="D79" t="s">
        <v>2017</v>
      </c>
    </row>
    <row r="80" spans="1:4" x14ac:dyDescent="0.25">
      <c r="A80" t="s">
        <v>4460</v>
      </c>
      <c r="B80" t="s">
        <v>1990</v>
      </c>
      <c r="C80" t="s">
        <v>2357</v>
      </c>
      <c r="D80" t="s">
        <v>2017</v>
      </c>
    </row>
    <row r="81" spans="1:4" x14ac:dyDescent="0.25">
      <c r="A81" t="s">
        <v>4461</v>
      </c>
      <c r="B81" t="s">
        <v>2017</v>
      </c>
      <c r="C81" t="s">
        <v>2359</v>
      </c>
      <c r="D81" t="s">
        <v>2019</v>
      </c>
    </row>
    <row r="82" spans="1:4" x14ac:dyDescent="0.25">
      <c r="A82" t="s">
        <v>4462</v>
      </c>
      <c r="B82" t="s">
        <v>1990</v>
      </c>
      <c r="C82" t="s">
        <v>2357</v>
      </c>
      <c r="D82" t="s">
        <v>2019</v>
      </c>
    </row>
    <row r="83" spans="1:4" x14ac:dyDescent="0.25">
      <c r="A83" t="s">
        <v>4463</v>
      </c>
      <c r="B83" t="s">
        <v>2019</v>
      </c>
      <c r="C83" t="s">
        <v>2359</v>
      </c>
      <c r="D83" t="s">
        <v>2021</v>
      </c>
    </row>
    <row r="84" spans="1:4" x14ac:dyDescent="0.25">
      <c r="A84" t="s">
        <v>4464</v>
      </c>
      <c r="B84" t="s">
        <v>1990</v>
      </c>
      <c r="C84" t="s">
        <v>2357</v>
      </c>
      <c r="D84" t="s">
        <v>2021</v>
      </c>
    </row>
    <row r="85" spans="1:4" x14ac:dyDescent="0.25">
      <c r="A85" t="s">
        <v>4465</v>
      </c>
      <c r="B85" t="s">
        <v>2021</v>
      </c>
      <c r="C85" t="s">
        <v>2359</v>
      </c>
      <c r="D85" t="s">
        <v>2023</v>
      </c>
    </row>
    <row r="86" spans="1:4" x14ac:dyDescent="0.25">
      <c r="A86" t="s">
        <v>4466</v>
      </c>
      <c r="B86" t="s">
        <v>1990</v>
      </c>
      <c r="C86" t="s">
        <v>2357</v>
      </c>
      <c r="D86" t="s">
        <v>2023</v>
      </c>
    </row>
    <row r="87" spans="1:4" x14ac:dyDescent="0.25">
      <c r="A87" t="s">
        <v>4467</v>
      </c>
      <c r="B87" t="s">
        <v>2023</v>
      </c>
      <c r="C87" t="s">
        <v>2359</v>
      </c>
      <c r="D87" t="s">
        <v>2024</v>
      </c>
    </row>
    <row r="88" spans="1:4" x14ac:dyDescent="0.25">
      <c r="A88" t="s">
        <v>4468</v>
      </c>
      <c r="B88" t="s">
        <v>1990</v>
      </c>
      <c r="C88" t="s">
        <v>2357</v>
      </c>
      <c r="D88" t="s">
        <v>2024</v>
      </c>
    </row>
    <row r="89" spans="1:4" x14ac:dyDescent="0.25">
      <c r="A89" t="s">
        <v>4469</v>
      </c>
      <c r="B89" t="s">
        <v>2024</v>
      </c>
      <c r="C89" t="s">
        <v>2359</v>
      </c>
      <c r="D89" t="s">
        <v>2027</v>
      </c>
    </row>
    <row r="90" spans="1:4" x14ac:dyDescent="0.25">
      <c r="A90" t="s">
        <v>4470</v>
      </c>
      <c r="B90" t="s">
        <v>1990</v>
      </c>
      <c r="C90" t="s">
        <v>2357</v>
      </c>
      <c r="D90" t="s">
        <v>2027</v>
      </c>
    </row>
    <row r="91" spans="1:4" x14ac:dyDescent="0.25">
      <c r="A91" t="s">
        <v>4471</v>
      </c>
      <c r="B91" t="s">
        <v>2027</v>
      </c>
      <c r="C91" t="s">
        <v>2359</v>
      </c>
      <c r="D91" t="s">
        <v>2029</v>
      </c>
    </row>
    <row r="92" spans="1:4" x14ac:dyDescent="0.25">
      <c r="A92" t="s">
        <v>4472</v>
      </c>
      <c r="B92" t="s">
        <v>1990</v>
      </c>
      <c r="C92" t="s">
        <v>2357</v>
      </c>
      <c r="D92" t="s">
        <v>2029</v>
      </c>
    </row>
    <row r="93" spans="1:4" x14ac:dyDescent="0.25">
      <c r="A93" t="s">
        <v>4473</v>
      </c>
      <c r="B93" t="s">
        <v>2029</v>
      </c>
      <c r="C93" t="s">
        <v>2359</v>
      </c>
      <c r="D93" t="s">
        <v>2031</v>
      </c>
    </row>
    <row r="94" spans="1:4" x14ac:dyDescent="0.25">
      <c r="A94" t="s">
        <v>4474</v>
      </c>
      <c r="B94" t="s">
        <v>1990</v>
      </c>
      <c r="C94" t="s">
        <v>2357</v>
      </c>
      <c r="D94" t="s">
        <v>2031</v>
      </c>
    </row>
    <row r="95" spans="1:4" x14ac:dyDescent="0.25">
      <c r="A95" t="s">
        <v>4475</v>
      </c>
      <c r="B95" t="s">
        <v>2031</v>
      </c>
      <c r="C95" t="s">
        <v>2359</v>
      </c>
      <c r="D95" t="s">
        <v>2033</v>
      </c>
    </row>
    <row r="96" spans="1:4" x14ac:dyDescent="0.25">
      <c r="A96" t="s">
        <v>4476</v>
      </c>
      <c r="B96" t="s">
        <v>1990</v>
      </c>
      <c r="C96" t="s">
        <v>2357</v>
      </c>
      <c r="D96" t="s">
        <v>2033</v>
      </c>
    </row>
    <row r="97" spans="1:4" x14ac:dyDescent="0.25">
      <c r="A97" t="s">
        <v>4477</v>
      </c>
      <c r="B97" t="s">
        <v>2033</v>
      </c>
      <c r="C97" t="s">
        <v>2359</v>
      </c>
      <c r="D97" t="s">
        <v>2035</v>
      </c>
    </row>
    <row r="98" spans="1:4" x14ac:dyDescent="0.25">
      <c r="A98" t="s">
        <v>4478</v>
      </c>
      <c r="B98" t="s">
        <v>1990</v>
      </c>
      <c r="C98" t="s">
        <v>2357</v>
      </c>
      <c r="D98" t="s">
        <v>2035</v>
      </c>
    </row>
    <row r="99" spans="1:4" x14ac:dyDescent="0.25">
      <c r="A99" t="s">
        <v>4479</v>
      </c>
      <c r="B99" t="s">
        <v>2035</v>
      </c>
      <c r="C99" t="s">
        <v>2359</v>
      </c>
      <c r="D99" t="s">
        <v>2038</v>
      </c>
    </row>
    <row r="100" spans="1:4" x14ac:dyDescent="0.25">
      <c r="A100" t="s">
        <v>4480</v>
      </c>
      <c r="B100" t="s">
        <v>1990</v>
      </c>
      <c r="C100" t="s">
        <v>2357</v>
      </c>
      <c r="D100" t="s">
        <v>2038</v>
      </c>
    </row>
    <row r="101" spans="1:4" x14ac:dyDescent="0.25">
      <c r="A101" t="s">
        <v>4481</v>
      </c>
      <c r="B101" t="s">
        <v>2038</v>
      </c>
      <c r="C101" t="s">
        <v>2359</v>
      </c>
      <c r="D101" t="s">
        <v>2039</v>
      </c>
    </row>
    <row r="102" spans="1:4" x14ac:dyDescent="0.25">
      <c r="A102" t="s">
        <v>4482</v>
      </c>
      <c r="B102" t="s">
        <v>1990</v>
      </c>
      <c r="C102" t="s">
        <v>2357</v>
      </c>
      <c r="D102" t="s">
        <v>2039</v>
      </c>
    </row>
    <row r="103" spans="1:4" x14ac:dyDescent="0.25">
      <c r="A103" t="s">
        <v>4483</v>
      </c>
      <c r="B103" t="s">
        <v>2039</v>
      </c>
      <c r="C103" t="s">
        <v>2359</v>
      </c>
      <c r="D103" t="s">
        <v>2042</v>
      </c>
    </row>
    <row r="104" spans="1:4" x14ac:dyDescent="0.25">
      <c r="A104" t="s">
        <v>4484</v>
      </c>
      <c r="B104" t="s">
        <v>1990</v>
      </c>
      <c r="C104" t="s">
        <v>2357</v>
      </c>
      <c r="D104" t="s">
        <v>2042</v>
      </c>
    </row>
    <row r="105" spans="1:4" x14ac:dyDescent="0.25">
      <c r="A105" t="s">
        <v>4485</v>
      </c>
      <c r="B105" t="s">
        <v>2042</v>
      </c>
      <c r="C105" t="s">
        <v>2359</v>
      </c>
      <c r="D105" t="s">
        <v>2044</v>
      </c>
    </row>
    <row r="106" spans="1:4" x14ac:dyDescent="0.25">
      <c r="A106" t="s">
        <v>4486</v>
      </c>
      <c r="B106" t="s">
        <v>1990</v>
      </c>
      <c r="C106" t="s">
        <v>2357</v>
      </c>
      <c r="D106" t="s">
        <v>2044</v>
      </c>
    </row>
    <row r="107" spans="1:4" x14ac:dyDescent="0.25">
      <c r="A107" t="s">
        <v>4487</v>
      </c>
      <c r="B107" t="s">
        <v>2044</v>
      </c>
      <c r="C107" t="s">
        <v>2359</v>
      </c>
      <c r="D107" t="s">
        <v>4488</v>
      </c>
    </row>
    <row r="108" spans="1:4" x14ac:dyDescent="0.25">
      <c r="A108" t="s">
        <v>4489</v>
      </c>
      <c r="B108" t="s">
        <v>1990</v>
      </c>
      <c r="C108" t="s">
        <v>2357</v>
      </c>
      <c r="D108" t="s">
        <v>4488</v>
      </c>
    </row>
    <row r="109" spans="1:4" x14ac:dyDescent="0.25">
      <c r="A109" t="s">
        <v>4490</v>
      </c>
      <c r="B109" t="s">
        <v>2044</v>
      </c>
      <c r="C109" t="s">
        <v>2359</v>
      </c>
      <c r="D109" t="s">
        <v>2047</v>
      </c>
    </row>
    <row r="110" spans="1:4" x14ac:dyDescent="0.25">
      <c r="A110" t="s">
        <v>4491</v>
      </c>
      <c r="B110" t="s">
        <v>1990</v>
      </c>
      <c r="C110" t="s">
        <v>2357</v>
      </c>
      <c r="D110" t="s">
        <v>2047</v>
      </c>
    </row>
    <row r="111" spans="1:4" x14ac:dyDescent="0.25">
      <c r="A111" t="s">
        <v>4492</v>
      </c>
      <c r="B111" t="s">
        <v>2047</v>
      </c>
      <c r="C111" t="s">
        <v>2359</v>
      </c>
      <c r="D111" t="s">
        <v>2050</v>
      </c>
    </row>
    <row r="112" spans="1:4" x14ac:dyDescent="0.25">
      <c r="A112" t="s">
        <v>4493</v>
      </c>
      <c r="B112" t="s">
        <v>1990</v>
      </c>
      <c r="C112" t="s">
        <v>2357</v>
      </c>
      <c r="D112" t="s">
        <v>2050</v>
      </c>
    </row>
    <row r="113" spans="1:4" x14ac:dyDescent="0.25">
      <c r="A113" t="s">
        <v>4494</v>
      </c>
      <c r="B113" t="s">
        <v>2050</v>
      </c>
      <c r="C113" t="s">
        <v>2359</v>
      </c>
      <c r="D113" t="s">
        <v>2052</v>
      </c>
    </row>
    <row r="114" spans="1:4" x14ac:dyDescent="0.25">
      <c r="A114" t="s">
        <v>4495</v>
      </c>
      <c r="B114" t="s">
        <v>1990</v>
      </c>
      <c r="C114" t="s">
        <v>2357</v>
      </c>
      <c r="D114" t="s">
        <v>2052</v>
      </c>
    </row>
    <row r="115" spans="1:4" x14ac:dyDescent="0.25">
      <c r="A115" t="s">
        <v>4496</v>
      </c>
      <c r="B115" t="s">
        <v>2052</v>
      </c>
      <c r="C115" t="s">
        <v>2359</v>
      </c>
      <c r="D115" t="s">
        <v>2054</v>
      </c>
    </row>
    <row r="116" spans="1:4" x14ac:dyDescent="0.25">
      <c r="A116" t="s">
        <v>4497</v>
      </c>
      <c r="B116" t="s">
        <v>1990</v>
      </c>
      <c r="C116" t="s">
        <v>2357</v>
      </c>
      <c r="D116" t="s">
        <v>2054</v>
      </c>
    </row>
    <row r="117" spans="1:4" x14ac:dyDescent="0.25">
      <c r="A117" t="s">
        <v>4498</v>
      </c>
      <c r="B117" t="s">
        <v>2054</v>
      </c>
      <c r="C117" t="s">
        <v>2359</v>
      </c>
      <c r="D117" t="s">
        <v>2057</v>
      </c>
    </row>
    <row r="118" spans="1:4" x14ac:dyDescent="0.25">
      <c r="A118" t="s">
        <v>4499</v>
      </c>
      <c r="B118" t="s">
        <v>1990</v>
      </c>
      <c r="C118" t="s">
        <v>2357</v>
      </c>
      <c r="D118" t="s">
        <v>2057</v>
      </c>
    </row>
    <row r="119" spans="1:4" x14ac:dyDescent="0.25">
      <c r="A119" t="s">
        <v>4500</v>
      </c>
      <c r="B119" t="s">
        <v>2057</v>
      </c>
      <c r="C119" t="s">
        <v>2359</v>
      </c>
      <c r="D119" t="s">
        <v>2058</v>
      </c>
    </row>
    <row r="120" spans="1:4" x14ac:dyDescent="0.25">
      <c r="A120" t="s">
        <v>4501</v>
      </c>
      <c r="B120" t="s">
        <v>1990</v>
      </c>
      <c r="C120" t="s">
        <v>2357</v>
      </c>
      <c r="D120" t="s">
        <v>2058</v>
      </c>
    </row>
    <row r="121" spans="1:4" x14ac:dyDescent="0.25">
      <c r="A121" t="s">
        <v>4502</v>
      </c>
      <c r="B121" t="s">
        <v>2058</v>
      </c>
      <c r="C121" t="s">
        <v>2359</v>
      </c>
      <c r="D121" t="s">
        <v>4503</v>
      </c>
    </row>
    <row r="122" spans="1:4" x14ac:dyDescent="0.25">
      <c r="A122" t="s">
        <v>4504</v>
      </c>
      <c r="B122" t="s">
        <v>1990</v>
      </c>
      <c r="C122" t="s">
        <v>2357</v>
      </c>
      <c r="D122" t="s">
        <v>4503</v>
      </c>
    </row>
    <row r="123" spans="1:4" x14ac:dyDescent="0.25">
      <c r="A123" t="s">
        <v>4505</v>
      </c>
      <c r="B123" t="s">
        <v>2061</v>
      </c>
      <c r="C123" t="s">
        <v>2357</v>
      </c>
      <c r="D123" t="s">
        <v>2062</v>
      </c>
    </row>
    <row r="124" spans="1:4" x14ac:dyDescent="0.25">
      <c r="A124" t="s">
        <v>4506</v>
      </c>
      <c r="B124" t="s">
        <v>2062</v>
      </c>
      <c r="C124" t="s">
        <v>2359</v>
      </c>
      <c r="D124" t="s">
        <v>4507</v>
      </c>
    </row>
    <row r="125" spans="1:4" x14ac:dyDescent="0.25">
      <c r="A125" t="s">
        <v>4508</v>
      </c>
      <c r="B125" t="s">
        <v>2061</v>
      </c>
      <c r="C125" t="s">
        <v>2357</v>
      </c>
      <c r="D125" t="s">
        <v>4507</v>
      </c>
    </row>
    <row r="126" spans="1:4" x14ac:dyDescent="0.25">
      <c r="A126" t="s">
        <v>4509</v>
      </c>
      <c r="B126" t="s">
        <v>2065</v>
      </c>
      <c r="C126" t="s">
        <v>2357</v>
      </c>
      <c r="D126" t="s">
        <v>2066</v>
      </c>
    </row>
    <row r="127" spans="1:4" x14ac:dyDescent="0.25">
      <c r="A127" t="s">
        <v>4510</v>
      </c>
      <c r="B127" t="s">
        <v>2066</v>
      </c>
      <c r="C127" t="s">
        <v>2359</v>
      </c>
      <c r="D127" t="s">
        <v>4511</v>
      </c>
    </row>
    <row r="128" spans="1:4" x14ac:dyDescent="0.25">
      <c r="A128" t="s">
        <v>4512</v>
      </c>
      <c r="B128" t="s">
        <v>2065</v>
      </c>
      <c r="C128" t="s">
        <v>2357</v>
      </c>
      <c r="D128" t="s">
        <v>4511</v>
      </c>
    </row>
    <row r="129" spans="1:4" x14ac:dyDescent="0.25">
      <c r="A129" t="s">
        <v>4513</v>
      </c>
      <c r="B129" t="s">
        <v>2079</v>
      </c>
      <c r="C129" t="s">
        <v>2357</v>
      </c>
      <c r="D129" t="s">
        <v>2080</v>
      </c>
    </row>
    <row r="130" spans="1:4" x14ac:dyDescent="0.25">
      <c r="A130" t="s">
        <v>4514</v>
      </c>
      <c r="B130" t="s">
        <v>2080</v>
      </c>
      <c r="C130" t="s">
        <v>2359</v>
      </c>
      <c r="D130" t="s">
        <v>4515</v>
      </c>
    </row>
    <row r="131" spans="1:4" x14ac:dyDescent="0.25">
      <c r="A131" t="s">
        <v>4516</v>
      </c>
      <c r="B131" t="s">
        <v>2079</v>
      </c>
      <c r="C131" t="s">
        <v>2357</v>
      </c>
      <c r="D131" t="s">
        <v>4515</v>
      </c>
    </row>
    <row r="132" spans="1:4" x14ac:dyDescent="0.25">
      <c r="A132" t="s">
        <v>4517</v>
      </c>
      <c r="B132" t="s">
        <v>1913</v>
      </c>
      <c r="C132" t="s">
        <v>2359</v>
      </c>
      <c r="D132" t="s">
        <v>2085</v>
      </c>
    </row>
    <row r="133" spans="1:4" x14ac:dyDescent="0.25">
      <c r="A133" t="s">
        <v>4518</v>
      </c>
      <c r="B133" t="s">
        <v>2083</v>
      </c>
      <c r="C133" t="s">
        <v>2357</v>
      </c>
      <c r="D133" t="s">
        <v>2085</v>
      </c>
    </row>
    <row r="134" spans="1:4" x14ac:dyDescent="0.25">
      <c r="A134" t="s">
        <v>4519</v>
      </c>
      <c r="B134" t="s">
        <v>2085</v>
      </c>
      <c r="C134" t="s">
        <v>2359</v>
      </c>
      <c r="D134" t="s">
        <v>2087</v>
      </c>
    </row>
    <row r="135" spans="1:4" x14ac:dyDescent="0.25">
      <c r="A135" t="s">
        <v>4520</v>
      </c>
      <c r="B135" t="s">
        <v>2083</v>
      </c>
      <c r="C135" t="s">
        <v>2357</v>
      </c>
      <c r="D135" t="s">
        <v>2087</v>
      </c>
    </row>
    <row r="136" spans="1:4" x14ac:dyDescent="0.25">
      <c r="A136" t="s">
        <v>4521</v>
      </c>
      <c r="B136" t="s">
        <v>2087</v>
      </c>
      <c r="C136" t="s">
        <v>2359</v>
      </c>
      <c r="D136" t="s">
        <v>2089</v>
      </c>
    </row>
    <row r="137" spans="1:4" x14ac:dyDescent="0.25">
      <c r="A137" t="s">
        <v>4522</v>
      </c>
      <c r="B137" t="s">
        <v>2089</v>
      </c>
      <c r="C137" t="s">
        <v>2359</v>
      </c>
      <c r="D137" t="s">
        <v>2091</v>
      </c>
    </row>
    <row r="138" spans="1:4" x14ac:dyDescent="0.25">
      <c r="A138" t="s">
        <v>4523</v>
      </c>
      <c r="B138" t="s">
        <v>2091</v>
      </c>
      <c r="C138" t="s">
        <v>2359</v>
      </c>
      <c r="D138" t="s">
        <v>2093</v>
      </c>
    </row>
    <row r="139" spans="1:4" x14ac:dyDescent="0.25">
      <c r="A139" t="s">
        <v>4524</v>
      </c>
      <c r="B139" t="s">
        <v>2093</v>
      </c>
      <c r="C139" t="s">
        <v>2359</v>
      </c>
      <c r="D139" t="s">
        <v>2094</v>
      </c>
    </row>
    <row r="140" spans="1:4" x14ac:dyDescent="0.25">
      <c r="A140" t="s">
        <v>4525</v>
      </c>
      <c r="B140" t="s">
        <v>2094</v>
      </c>
      <c r="C140" t="s">
        <v>2359</v>
      </c>
      <c r="D140" t="s">
        <v>4526</v>
      </c>
    </row>
    <row r="141" spans="1:4" x14ac:dyDescent="0.25">
      <c r="A141" t="s">
        <v>4527</v>
      </c>
      <c r="B141" t="s">
        <v>2097</v>
      </c>
      <c r="C141" t="s">
        <v>2357</v>
      </c>
      <c r="D141" t="s">
        <v>2099</v>
      </c>
    </row>
    <row r="142" spans="1:4" x14ac:dyDescent="0.25">
      <c r="A142" t="s">
        <v>4528</v>
      </c>
      <c r="B142" t="s">
        <v>2099</v>
      </c>
      <c r="C142" t="s">
        <v>2359</v>
      </c>
      <c r="D142" t="s">
        <v>2101</v>
      </c>
    </row>
    <row r="143" spans="1:4" x14ac:dyDescent="0.25">
      <c r="A143" t="s">
        <v>4529</v>
      </c>
      <c r="B143" t="s">
        <v>2097</v>
      </c>
      <c r="C143" t="s">
        <v>2357</v>
      </c>
      <c r="D143" t="s">
        <v>2101</v>
      </c>
    </row>
    <row r="144" spans="1:4" x14ac:dyDescent="0.25">
      <c r="A144" t="s">
        <v>4530</v>
      </c>
      <c r="B144" t="s">
        <v>2101</v>
      </c>
      <c r="C144" t="s">
        <v>2359</v>
      </c>
      <c r="D144" t="s">
        <v>2103</v>
      </c>
    </row>
    <row r="145" spans="1:4" x14ac:dyDescent="0.25">
      <c r="A145" t="s">
        <v>4531</v>
      </c>
      <c r="B145" t="s">
        <v>2103</v>
      </c>
      <c r="C145" t="s">
        <v>2359</v>
      </c>
      <c r="D145" t="s">
        <v>2105</v>
      </c>
    </row>
    <row r="146" spans="1:4" x14ac:dyDescent="0.25">
      <c r="A146" t="s">
        <v>4532</v>
      </c>
      <c r="B146" t="s">
        <v>2105</v>
      </c>
      <c r="C146" t="s">
        <v>2359</v>
      </c>
      <c r="D146" t="s">
        <v>2106</v>
      </c>
    </row>
    <row r="147" spans="1:4" x14ac:dyDescent="0.25">
      <c r="A147" t="s">
        <v>4533</v>
      </c>
      <c r="B147" t="s">
        <v>2106</v>
      </c>
      <c r="C147" t="s">
        <v>2359</v>
      </c>
      <c r="D147" t="s">
        <v>2108</v>
      </c>
    </row>
    <row r="148" spans="1:4" x14ac:dyDescent="0.25">
      <c r="A148" t="s">
        <v>4534</v>
      </c>
      <c r="B148" t="s">
        <v>2108</v>
      </c>
      <c r="C148" t="s">
        <v>2359</v>
      </c>
      <c r="D148" t="s">
        <v>2110</v>
      </c>
    </row>
    <row r="149" spans="1:4" x14ac:dyDescent="0.25">
      <c r="A149" t="s">
        <v>4535</v>
      </c>
      <c r="B149" t="s">
        <v>2110</v>
      </c>
      <c r="C149" t="s">
        <v>2359</v>
      </c>
      <c r="D149" t="s">
        <v>2112</v>
      </c>
    </row>
    <row r="150" spans="1:4" x14ac:dyDescent="0.25">
      <c r="A150" t="s">
        <v>4536</v>
      </c>
      <c r="B150" t="s">
        <v>2112</v>
      </c>
      <c r="C150" t="s">
        <v>2359</v>
      </c>
      <c r="D150" t="s">
        <v>2113</v>
      </c>
    </row>
    <row r="151" spans="1:4" x14ac:dyDescent="0.25">
      <c r="A151" t="s">
        <v>4537</v>
      </c>
      <c r="B151" t="s">
        <v>2113</v>
      </c>
      <c r="C151" t="s">
        <v>2359</v>
      </c>
      <c r="D151" t="s">
        <v>4538</v>
      </c>
    </row>
    <row r="152" spans="1:4" x14ac:dyDescent="0.25">
      <c r="A152" t="s">
        <v>4539</v>
      </c>
      <c r="B152" t="s">
        <v>2116</v>
      </c>
      <c r="C152" t="s">
        <v>2357</v>
      </c>
      <c r="D152" t="s">
        <v>2117</v>
      </c>
    </row>
    <row r="153" spans="1:4" x14ac:dyDescent="0.25">
      <c r="A153" t="s">
        <v>4540</v>
      </c>
      <c r="B153" t="s">
        <v>2117</v>
      </c>
      <c r="C153" t="s">
        <v>2359</v>
      </c>
      <c r="D153" t="s">
        <v>4541</v>
      </c>
    </row>
    <row r="154" spans="1:4" x14ac:dyDescent="0.25">
      <c r="A154" t="s">
        <v>4542</v>
      </c>
      <c r="B154" t="s">
        <v>2116</v>
      </c>
      <c r="C154" t="s">
        <v>2357</v>
      </c>
      <c r="D154" t="s">
        <v>4541</v>
      </c>
    </row>
    <row r="155" spans="1:4" x14ac:dyDescent="0.25">
      <c r="A155" t="s">
        <v>4543</v>
      </c>
      <c r="B155" t="s">
        <v>2120</v>
      </c>
      <c r="C155" t="s">
        <v>2357</v>
      </c>
      <c r="D155" t="s">
        <v>2122</v>
      </c>
    </row>
    <row r="156" spans="1:4" x14ac:dyDescent="0.25">
      <c r="A156" t="s">
        <v>4544</v>
      </c>
      <c r="B156" t="s">
        <v>2122</v>
      </c>
      <c r="C156" t="s">
        <v>2359</v>
      </c>
      <c r="D156" t="s">
        <v>2124</v>
      </c>
    </row>
    <row r="157" spans="1:4" x14ac:dyDescent="0.25">
      <c r="A157" t="s">
        <v>4545</v>
      </c>
      <c r="B157" t="s">
        <v>2120</v>
      </c>
      <c r="C157" t="s">
        <v>2357</v>
      </c>
      <c r="D157" t="s">
        <v>2124</v>
      </c>
    </row>
    <row r="158" spans="1:4" x14ac:dyDescent="0.25">
      <c r="A158" t="s">
        <v>4546</v>
      </c>
      <c r="B158" t="s">
        <v>2124</v>
      </c>
      <c r="C158" t="s">
        <v>2359</v>
      </c>
      <c r="D158" t="s">
        <v>2126</v>
      </c>
    </row>
    <row r="159" spans="1:4" x14ac:dyDescent="0.25">
      <c r="A159" t="s">
        <v>4547</v>
      </c>
      <c r="B159" t="s">
        <v>2126</v>
      </c>
      <c r="C159" t="s">
        <v>2359</v>
      </c>
      <c r="D159" t="s">
        <v>2128</v>
      </c>
    </row>
    <row r="160" spans="1:4" x14ac:dyDescent="0.25">
      <c r="A160" t="s">
        <v>4548</v>
      </c>
      <c r="B160" t="s">
        <v>2128</v>
      </c>
      <c r="C160" t="s">
        <v>2359</v>
      </c>
      <c r="D160" t="s">
        <v>4549</v>
      </c>
    </row>
    <row r="161" spans="1:4" x14ac:dyDescent="0.25">
      <c r="A161" t="s">
        <v>4550</v>
      </c>
      <c r="B161" t="s">
        <v>2131</v>
      </c>
      <c r="C161" t="s">
        <v>2357</v>
      </c>
      <c r="D161" t="s">
        <v>2133</v>
      </c>
    </row>
    <row r="162" spans="1:4" x14ac:dyDescent="0.25">
      <c r="A162" t="s">
        <v>4551</v>
      </c>
      <c r="B162" t="s">
        <v>2133</v>
      </c>
      <c r="C162" t="s">
        <v>2359</v>
      </c>
      <c r="D162" t="s">
        <v>2135</v>
      </c>
    </row>
    <row r="163" spans="1:4" x14ac:dyDescent="0.25">
      <c r="A163" t="s">
        <v>4552</v>
      </c>
      <c r="B163" t="s">
        <v>2131</v>
      </c>
      <c r="C163" t="s">
        <v>2357</v>
      </c>
      <c r="D163" t="s">
        <v>2135</v>
      </c>
    </row>
    <row r="164" spans="1:4" x14ac:dyDescent="0.25">
      <c r="A164" t="s">
        <v>4553</v>
      </c>
      <c r="B164" t="s">
        <v>2135</v>
      </c>
      <c r="C164" t="s">
        <v>2359</v>
      </c>
      <c r="D164" t="s">
        <v>2137</v>
      </c>
    </row>
    <row r="165" spans="1:4" x14ac:dyDescent="0.25">
      <c r="A165" t="s">
        <v>4554</v>
      </c>
      <c r="B165" t="s">
        <v>2137</v>
      </c>
      <c r="C165" t="s">
        <v>2359</v>
      </c>
      <c r="D165" t="s">
        <v>2138</v>
      </c>
    </row>
    <row r="166" spans="1:4" x14ac:dyDescent="0.25">
      <c r="A166" t="s">
        <v>4555</v>
      </c>
      <c r="B166" t="s">
        <v>2138</v>
      </c>
      <c r="C166" t="s">
        <v>2359</v>
      </c>
      <c r="D166" t="s">
        <v>4556</v>
      </c>
    </row>
    <row r="167" spans="1:4" x14ac:dyDescent="0.25">
      <c r="A167" t="s">
        <v>4557</v>
      </c>
      <c r="B167" t="s">
        <v>2141</v>
      </c>
      <c r="C167" t="s">
        <v>2357</v>
      </c>
      <c r="D167" t="s">
        <v>2143</v>
      </c>
    </row>
    <row r="168" spans="1:4" x14ac:dyDescent="0.25">
      <c r="A168" t="s">
        <v>4558</v>
      </c>
      <c r="B168" t="s">
        <v>2143</v>
      </c>
      <c r="C168" t="s">
        <v>2359</v>
      </c>
      <c r="D168" t="s">
        <v>4559</v>
      </c>
    </row>
    <row r="169" spans="1:4" x14ac:dyDescent="0.25">
      <c r="A169" t="s">
        <v>4560</v>
      </c>
      <c r="B169" t="s">
        <v>2141</v>
      </c>
      <c r="C169" t="s">
        <v>2357</v>
      </c>
      <c r="D169" t="s">
        <v>4559</v>
      </c>
    </row>
    <row r="170" spans="1:4" x14ac:dyDescent="0.25">
      <c r="A170" t="s">
        <v>4561</v>
      </c>
      <c r="B170" t="s">
        <v>2143</v>
      </c>
      <c r="C170" t="s">
        <v>2359</v>
      </c>
      <c r="D170" t="s">
        <v>4562</v>
      </c>
    </row>
    <row r="171" spans="1:4" x14ac:dyDescent="0.25">
      <c r="A171" t="s">
        <v>4563</v>
      </c>
      <c r="B171" t="s">
        <v>2141</v>
      </c>
      <c r="C171" t="s">
        <v>2357</v>
      </c>
      <c r="D171" t="s">
        <v>4562</v>
      </c>
    </row>
    <row r="172" spans="1:4" x14ac:dyDescent="0.25">
      <c r="A172" t="s">
        <v>4564</v>
      </c>
      <c r="B172" t="s">
        <v>4559</v>
      </c>
      <c r="C172" t="s">
        <v>2366</v>
      </c>
      <c r="D172" t="s">
        <v>4565</v>
      </c>
    </row>
    <row r="173" spans="1:4" x14ac:dyDescent="0.25">
      <c r="A173" t="s">
        <v>4566</v>
      </c>
      <c r="B173" t="s">
        <v>4562</v>
      </c>
      <c r="C173" t="s">
        <v>2366</v>
      </c>
      <c r="D173" t="s">
        <v>4565</v>
      </c>
    </row>
    <row r="174" spans="1:4" x14ac:dyDescent="0.25">
      <c r="A174" t="s">
        <v>4567</v>
      </c>
      <c r="B174" t="s">
        <v>4559</v>
      </c>
      <c r="C174" t="s">
        <v>2366</v>
      </c>
      <c r="D174" t="s">
        <v>4568</v>
      </c>
    </row>
    <row r="175" spans="1:4" x14ac:dyDescent="0.25">
      <c r="A175" t="s">
        <v>4569</v>
      </c>
      <c r="B175" t="s">
        <v>4562</v>
      </c>
      <c r="C175" t="s">
        <v>2366</v>
      </c>
      <c r="D175" t="s">
        <v>4568</v>
      </c>
    </row>
    <row r="176" spans="1:4" x14ac:dyDescent="0.25">
      <c r="A176" t="s">
        <v>4570</v>
      </c>
      <c r="B176" t="s">
        <v>2155</v>
      </c>
      <c r="C176" t="s">
        <v>2357</v>
      </c>
      <c r="D176" t="s">
        <v>2156</v>
      </c>
    </row>
    <row r="177" spans="1:4" x14ac:dyDescent="0.25">
      <c r="A177" t="s">
        <v>4571</v>
      </c>
      <c r="B177" t="s">
        <v>2156</v>
      </c>
      <c r="C177" t="s">
        <v>2359</v>
      </c>
      <c r="D177" t="s">
        <v>4572</v>
      </c>
    </row>
    <row r="178" spans="1:4" x14ac:dyDescent="0.25">
      <c r="A178" t="s">
        <v>4573</v>
      </c>
      <c r="B178" t="s">
        <v>2155</v>
      </c>
      <c r="C178" t="s">
        <v>2357</v>
      </c>
      <c r="D178" t="s">
        <v>4572</v>
      </c>
    </row>
    <row r="179" spans="1:4" x14ac:dyDescent="0.25">
      <c r="A179" t="s">
        <v>4574</v>
      </c>
      <c r="B179" t="s">
        <v>2159</v>
      </c>
      <c r="C179" t="s">
        <v>2357</v>
      </c>
      <c r="D179" t="s">
        <v>2161</v>
      </c>
    </row>
    <row r="180" spans="1:4" x14ac:dyDescent="0.25">
      <c r="A180" t="s">
        <v>4575</v>
      </c>
      <c r="B180" t="s">
        <v>2161</v>
      </c>
      <c r="C180" t="s">
        <v>2359</v>
      </c>
      <c r="D180" t="s">
        <v>2162</v>
      </c>
    </row>
    <row r="181" spans="1:4" x14ac:dyDescent="0.25">
      <c r="A181" t="s">
        <v>4576</v>
      </c>
      <c r="B181" t="s">
        <v>2159</v>
      </c>
      <c r="C181" t="s">
        <v>2357</v>
      </c>
      <c r="D181" t="s">
        <v>2162</v>
      </c>
    </row>
    <row r="182" spans="1:4" x14ac:dyDescent="0.25">
      <c r="A182" t="s">
        <v>4577</v>
      </c>
      <c r="B182" t="s">
        <v>2162</v>
      </c>
      <c r="C182" t="s">
        <v>2359</v>
      </c>
      <c r="D182" t="s">
        <v>4578</v>
      </c>
    </row>
    <row r="183" spans="1:4" x14ac:dyDescent="0.25">
      <c r="A183" t="s">
        <v>4579</v>
      </c>
      <c r="B183" t="s">
        <v>2165</v>
      </c>
      <c r="C183" t="s">
        <v>2357</v>
      </c>
      <c r="D183" t="s">
        <v>2166</v>
      </c>
    </row>
    <row r="184" spans="1:4" x14ac:dyDescent="0.25">
      <c r="A184" t="s">
        <v>4580</v>
      </c>
      <c r="B184" t="s">
        <v>2166</v>
      </c>
      <c r="C184" t="s">
        <v>2359</v>
      </c>
      <c r="D184" t="s">
        <v>4581</v>
      </c>
    </row>
    <row r="185" spans="1:4" x14ac:dyDescent="0.25">
      <c r="A185" t="s">
        <v>4582</v>
      </c>
      <c r="B185" t="s">
        <v>2165</v>
      </c>
      <c r="C185" t="s">
        <v>2357</v>
      </c>
      <c r="D185" t="s">
        <v>4581</v>
      </c>
    </row>
    <row r="186" spans="1:4" x14ac:dyDescent="0.25">
      <c r="A186" t="s">
        <v>4583</v>
      </c>
      <c r="B186" t="s">
        <v>2169</v>
      </c>
      <c r="C186" t="s">
        <v>2357</v>
      </c>
      <c r="D186" t="s">
        <v>2171</v>
      </c>
    </row>
    <row r="187" spans="1:4" x14ac:dyDescent="0.25">
      <c r="A187" t="s">
        <v>4584</v>
      </c>
      <c r="B187" t="s">
        <v>2171</v>
      </c>
      <c r="C187" t="s">
        <v>2359</v>
      </c>
      <c r="D187" t="s">
        <v>2173</v>
      </c>
    </row>
    <row r="188" spans="1:4" x14ac:dyDescent="0.25">
      <c r="A188" t="s">
        <v>4585</v>
      </c>
      <c r="B188" t="s">
        <v>2169</v>
      </c>
      <c r="C188" t="s">
        <v>2357</v>
      </c>
      <c r="D188" t="s">
        <v>2173</v>
      </c>
    </row>
    <row r="189" spans="1:4" x14ac:dyDescent="0.25">
      <c r="A189" t="s">
        <v>4586</v>
      </c>
      <c r="B189" t="s">
        <v>2173</v>
      </c>
      <c r="C189" t="s">
        <v>2359</v>
      </c>
      <c r="D189" t="s">
        <v>4587</v>
      </c>
    </row>
    <row r="190" spans="1:4" x14ac:dyDescent="0.25">
      <c r="A190" t="s">
        <v>4588</v>
      </c>
      <c r="B190" t="s">
        <v>2176</v>
      </c>
      <c r="C190" t="s">
        <v>2357</v>
      </c>
      <c r="D190" t="s">
        <v>2178</v>
      </c>
    </row>
    <row r="191" spans="1:4" x14ac:dyDescent="0.25">
      <c r="A191" t="s">
        <v>4589</v>
      </c>
      <c r="B191" t="s">
        <v>2178</v>
      </c>
      <c r="C191" t="s">
        <v>2359</v>
      </c>
      <c r="D191" t="s">
        <v>2179</v>
      </c>
    </row>
    <row r="192" spans="1:4" x14ac:dyDescent="0.25">
      <c r="A192" t="s">
        <v>4590</v>
      </c>
      <c r="B192" t="s">
        <v>2176</v>
      </c>
      <c r="C192" t="s">
        <v>2357</v>
      </c>
      <c r="D192" t="s">
        <v>2179</v>
      </c>
    </row>
    <row r="193" spans="1:4" x14ac:dyDescent="0.25">
      <c r="A193" t="s">
        <v>4591</v>
      </c>
      <c r="B193" t="s">
        <v>2179</v>
      </c>
      <c r="C193" t="s">
        <v>2359</v>
      </c>
      <c r="D193" t="s">
        <v>4592</v>
      </c>
    </row>
    <row r="194" spans="1:4" x14ac:dyDescent="0.25">
      <c r="A194" t="s">
        <v>4593</v>
      </c>
      <c r="B194" t="s">
        <v>2182</v>
      </c>
      <c r="C194" t="s">
        <v>2357</v>
      </c>
      <c r="D194" t="s">
        <v>2184</v>
      </c>
    </row>
    <row r="195" spans="1:4" x14ac:dyDescent="0.25">
      <c r="A195" t="s">
        <v>4594</v>
      </c>
      <c r="B195" t="s">
        <v>2184</v>
      </c>
      <c r="C195" t="s">
        <v>2359</v>
      </c>
      <c r="D195" t="s">
        <v>2186</v>
      </c>
    </row>
    <row r="196" spans="1:4" x14ac:dyDescent="0.25">
      <c r="A196" t="s">
        <v>4595</v>
      </c>
      <c r="B196" t="s">
        <v>2182</v>
      </c>
      <c r="C196" t="s">
        <v>2357</v>
      </c>
      <c r="D196" t="s">
        <v>2186</v>
      </c>
    </row>
    <row r="197" spans="1:4" x14ac:dyDescent="0.25">
      <c r="A197" t="s">
        <v>4596</v>
      </c>
      <c r="B197" t="s">
        <v>2186</v>
      </c>
      <c r="C197" t="s">
        <v>2359</v>
      </c>
      <c r="D197" t="s">
        <v>4597</v>
      </c>
    </row>
    <row r="198" spans="1:4" x14ac:dyDescent="0.25">
      <c r="A198" t="s">
        <v>4598</v>
      </c>
      <c r="B198" t="s">
        <v>2189</v>
      </c>
      <c r="C198" t="s">
        <v>2357</v>
      </c>
      <c r="D198" t="s">
        <v>2191</v>
      </c>
    </row>
    <row r="199" spans="1:4" x14ac:dyDescent="0.25">
      <c r="A199" t="s">
        <v>4599</v>
      </c>
      <c r="B199" t="s">
        <v>2191</v>
      </c>
      <c r="C199" t="s">
        <v>2359</v>
      </c>
      <c r="D199" t="s">
        <v>2193</v>
      </c>
    </row>
    <row r="200" spans="1:4" x14ac:dyDescent="0.25">
      <c r="A200" t="s">
        <v>4600</v>
      </c>
      <c r="B200" t="s">
        <v>2189</v>
      </c>
      <c r="C200" t="s">
        <v>2357</v>
      </c>
      <c r="D200" t="s">
        <v>2193</v>
      </c>
    </row>
    <row r="201" spans="1:4" x14ac:dyDescent="0.25">
      <c r="A201" t="s">
        <v>4601</v>
      </c>
      <c r="B201" t="s">
        <v>2193</v>
      </c>
      <c r="C201" t="s">
        <v>2359</v>
      </c>
      <c r="D201" t="s">
        <v>2195</v>
      </c>
    </row>
    <row r="202" spans="1:4" x14ac:dyDescent="0.25">
      <c r="A202" t="s">
        <v>4602</v>
      </c>
      <c r="B202" t="s">
        <v>2195</v>
      </c>
      <c r="C202" t="s">
        <v>2359</v>
      </c>
      <c r="D202" t="s">
        <v>4603</v>
      </c>
    </row>
    <row r="203" spans="1:4" x14ac:dyDescent="0.25">
      <c r="A203" t="s">
        <v>4604</v>
      </c>
      <c r="B203" t="s">
        <v>2198</v>
      </c>
      <c r="C203" t="s">
        <v>2357</v>
      </c>
      <c r="D203" t="s">
        <v>2199</v>
      </c>
    </row>
    <row r="204" spans="1:4" x14ac:dyDescent="0.25">
      <c r="A204" t="s">
        <v>4605</v>
      </c>
      <c r="B204" t="s">
        <v>2199</v>
      </c>
      <c r="C204" t="s">
        <v>2359</v>
      </c>
      <c r="D204" t="s">
        <v>4606</v>
      </c>
    </row>
    <row r="205" spans="1:4" x14ac:dyDescent="0.25">
      <c r="A205" t="s">
        <v>4607</v>
      </c>
      <c r="B205" t="s">
        <v>2198</v>
      </c>
      <c r="C205" t="s">
        <v>2357</v>
      </c>
      <c r="D205" t="s">
        <v>4606</v>
      </c>
    </row>
    <row r="206" spans="1:4" x14ac:dyDescent="0.25">
      <c r="A206" t="s">
        <v>4608</v>
      </c>
      <c r="B206" t="s">
        <v>2202</v>
      </c>
      <c r="C206" t="s">
        <v>2357</v>
      </c>
      <c r="D206" t="s">
        <v>2203</v>
      </c>
    </row>
    <row r="207" spans="1:4" x14ac:dyDescent="0.25">
      <c r="A207" t="s">
        <v>4609</v>
      </c>
      <c r="B207" t="s">
        <v>2203</v>
      </c>
      <c r="C207" t="s">
        <v>2359</v>
      </c>
      <c r="D207" t="s">
        <v>4610</v>
      </c>
    </row>
    <row r="208" spans="1:4" x14ac:dyDescent="0.25">
      <c r="A208" t="s">
        <v>4611</v>
      </c>
      <c r="B208" t="s">
        <v>2202</v>
      </c>
      <c r="C208" t="s">
        <v>2357</v>
      </c>
      <c r="D208" t="s">
        <v>4610</v>
      </c>
    </row>
    <row r="209" spans="1:4" x14ac:dyDescent="0.25">
      <c r="A209" t="s">
        <v>4612</v>
      </c>
      <c r="B209" t="s">
        <v>2206</v>
      </c>
      <c r="C209" t="s">
        <v>2357</v>
      </c>
      <c r="D209" t="s">
        <v>2207</v>
      </c>
    </row>
    <row r="210" spans="1:4" x14ac:dyDescent="0.25">
      <c r="A210" t="s">
        <v>4613</v>
      </c>
      <c r="B210" t="s">
        <v>2207</v>
      </c>
      <c r="C210" t="s">
        <v>2359</v>
      </c>
      <c r="D210" t="s">
        <v>4614</v>
      </c>
    </row>
    <row r="211" spans="1:4" x14ac:dyDescent="0.25">
      <c r="A211" t="s">
        <v>4615</v>
      </c>
      <c r="B211" t="s">
        <v>2206</v>
      </c>
      <c r="C211" t="s">
        <v>2357</v>
      </c>
      <c r="D211" t="s">
        <v>4614</v>
      </c>
    </row>
    <row r="212" spans="1:4" x14ac:dyDescent="0.25">
      <c r="A212" t="s">
        <v>4616</v>
      </c>
      <c r="B212" t="s">
        <v>2210</v>
      </c>
      <c r="C212" t="s">
        <v>2357</v>
      </c>
      <c r="D212" t="s">
        <v>4617</v>
      </c>
    </row>
    <row r="213" spans="1:4" x14ac:dyDescent="0.25">
      <c r="A213" t="s">
        <v>4618</v>
      </c>
      <c r="B213" t="s">
        <v>4556</v>
      </c>
      <c r="C213" t="s">
        <v>2359</v>
      </c>
      <c r="D213" t="s">
        <v>4619</v>
      </c>
    </row>
    <row r="214" spans="1:4" x14ac:dyDescent="0.25">
      <c r="A214" t="s">
        <v>4620</v>
      </c>
      <c r="B214" t="s">
        <v>2210</v>
      </c>
      <c r="C214" t="s">
        <v>2357</v>
      </c>
      <c r="D214" t="s">
        <v>4619</v>
      </c>
    </row>
    <row r="215" spans="1:4" x14ac:dyDescent="0.25">
      <c r="A215" t="s">
        <v>4621</v>
      </c>
      <c r="B215" t="s">
        <v>2213</v>
      </c>
      <c r="C215" t="s">
        <v>2357</v>
      </c>
      <c r="D215" t="s">
        <v>2215</v>
      </c>
    </row>
    <row r="216" spans="1:4" x14ac:dyDescent="0.25">
      <c r="A216" t="s">
        <v>4622</v>
      </c>
      <c r="B216" t="s">
        <v>2215</v>
      </c>
      <c r="C216" t="s">
        <v>2359</v>
      </c>
      <c r="D216" t="s">
        <v>2217</v>
      </c>
    </row>
    <row r="217" spans="1:4" x14ac:dyDescent="0.25">
      <c r="A217" t="s">
        <v>4623</v>
      </c>
      <c r="B217" t="s">
        <v>2213</v>
      </c>
      <c r="C217" t="s">
        <v>2357</v>
      </c>
      <c r="D217" t="s">
        <v>2217</v>
      </c>
    </row>
    <row r="218" spans="1:4" x14ac:dyDescent="0.25">
      <c r="A218" t="s">
        <v>4624</v>
      </c>
      <c r="B218" t="s">
        <v>2217</v>
      </c>
      <c r="C218" t="s">
        <v>2359</v>
      </c>
      <c r="D218" t="s">
        <v>2219</v>
      </c>
    </row>
    <row r="219" spans="1:4" x14ac:dyDescent="0.25">
      <c r="A219" t="s">
        <v>4625</v>
      </c>
      <c r="B219" t="s">
        <v>2219</v>
      </c>
      <c r="C219" t="s">
        <v>2359</v>
      </c>
      <c r="D219" t="s">
        <v>4626</v>
      </c>
    </row>
    <row r="220" spans="1:4" x14ac:dyDescent="0.25">
      <c r="A220" t="s">
        <v>4627</v>
      </c>
      <c r="B220" t="s">
        <v>2222</v>
      </c>
      <c r="C220" t="s">
        <v>2357</v>
      </c>
      <c r="D220" t="s">
        <v>2223</v>
      </c>
    </row>
    <row r="221" spans="1:4" x14ac:dyDescent="0.25">
      <c r="A221" t="s">
        <v>4628</v>
      </c>
      <c r="B221" t="s">
        <v>2223</v>
      </c>
      <c r="C221" t="s">
        <v>2359</v>
      </c>
      <c r="D221" t="s">
        <v>4629</v>
      </c>
    </row>
    <row r="222" spans="1:4" x14ac:dyDescent="0.25">
      <c r="A222" t="s">
        <v>4630</v>
      </c>
      <c r="B222" t="s">
        <v>2222</v>
      </c>
      <c r="C222" t="s">
        <v>2357</v>
      </c>
      <c r="D222" t="s">
        <v>4629</v>
      </c>
    </row>
    <row r="223" spans="1:4" x14ac:dyDescent="0.25">
      <c r="A223" t="s">
        <v>4631</v>
      </c>
      <c r="B223" t="s">
        <v>2226</v>
      </c>
      <c r="C223" t="s">
        <v>2357</v>
      </c>
      <c r="D223" t="s">
        <v>2227</v>
      </c>
    </row>
    <row r="224" spans="1:4" x14ac:dyDescent="0.25">
      <c r="A224" t="s">
        <v>4632</v>
      </c>
      <c r="B224" t="s">
        <v>2227</v>
      </c>
      <c r="C224" t="s">
        <v>2359</v>
      </c>
      <c r="D224" t="s">
        <v>4633</v>
      </c>
    </row>
    <row r="225" spans="1:4" x14ac:dyDescent="0.25">
      <c r="A225" t="s">
        <v>4634</v>
      </c>
      <c r="B225" t="s">
        <v>2226</v>
      </c>
      <c r="C225" t="s">
        <v>2357</v>
      </c>
      <c r="D225" t="s">
        <v>4633</v>
      </c>
    </row>
    <row r="226" spans="1:4" x14ac:dyDescent="0.25">
      <c r="A226" t="s">
        <v>4635</v>
      </c>
      <c r="B226" t="s">
        <v>2230</v>
      </c>
      <c r="C226" t="s">
        <v>2357</v>
      </c>
      <c r="D226" t="s">
        <v>2232</v>
      </c>
    </row>
    <row r="227" spans="1:4" x14ac:dyDescent="0.25">
      <c r="A227" t="s">
        <v>4636</v>
      </c>
      <c r="B227" t="s">
        <v>2232</v>
      </c>
      <c r="C227" t="s">
        <v>2359</v>
      </c>
      <c r="D227" t="s">
        <v>2234</v>
      </c>
    </row>
    <row r="228" spans="1:4" x14ac:dyDescent="0.25">
      <c r="A228" t="s">
        <v>4637</v>
      </c>
      <c r="B228" t="s">
        <v>2230</v>
      </c>
      <c r="C228" t="s">
        <v>2357</v>
      </c>
      <c r="D228" t="s">
        <v>2234</v>
      </c>
    </row>
    <row r="229" spans="1:4" x14ac:dyDescent="0.25">
      <c r="A229" t="s">
        <v>4638</v>
      </c>
      <c r="B229" t="s">
        <v>2234</v>
      </c>
      <c r="C229" t="s">
        <v>2359</v>
      </c>
      <c r="D229" t="s">
        <v>4639</v>
      </c>
    </row>
    <row r="230" spans="1:4" x14ac:dyDescent="0.25">
      <c r="A230" t="s">
        <v>4640</v>
      </c>
      <c r="B230" t="s">
        <v>2237</v>
      </c>
      <c r="C230" t="s">
        <v>2357</v>
      </c>
      <c r="D230" t="s">
        <v>2238</v>
      </c>
    </row>
    <row r="231" spans="1:4" x14ac:dyDescent="0.25">
      <c r="A231" t="s">
        <v>4641</v>
      </c>
      <c r="B231" t="s">
        <v>2238</v>
      </c>
      <c r="C231" t="s">
        <v>2359</v>
      </c>
      <c r="D231" t="s">
        <v>4642</v>
      </c>
    </row>
    <row r="232" spans="1:4" x14ac:dyDescent="0.25">
      <c r="A232" t="s">
        <v>4643</v>
      </c>
      <c r="B232" t="s">
        <v>2237</v>
      </c>
      <c r="C232" t="s">
        <v>2357</v>
      </c>
      <c r="D232" t="s">
        <v>4642</v>
      </c>
    </row>
    <row r="233" spans="1:4" x14ac:dyDescent="0.25">
      <c r="A233" t="s">
        <v>4644</v>
      </c>
      <c r="B233" t="s">
        <v>2241</v>
      </c>
      <c r="C233" t="s">
        <v>2357</v>
      </c>
      <c r="D233" t="s">
        <v>2242</v>
      </c>
    </row>
    <row r="234" spans="1:4" x14ac:dyDescent="0.25">
      <c r="A234" t="s">
        <v>4645</v>
      </c>
      <c r="B234" t="s">
        <v>2242</v>
      </c>
      <c r="C234" t="s">
        <v>2359</v>
      </c>
      <c r="D234" t="s">
        <v>4646</v>
      </c>
    </row>
    <row r="235" spans="1:4" x14ac:dyDescent="0.25">
      <c r="A235" t="s">
        <v>4647</v>
      </c>
      <c r="B235" t="s">
        <v>2241</v>
      </c>
      <c r="C235" t="s">
        <v>2357</v>
      </c>
      <c r="D235" t="s">
        <v>4646</v>
      </c>
    </row>
    <row r="236" spans="1:4" x14ac:dyDescent="0.25">
      <c r="A236" t="s">
        <v>4648</v>
      </c>
      <c r="B236" t="s">
        <v>2245</v>
      </c>
      <c r="C236" t="s">
        <v>2357</v>
      </c>
      <c r="D236" t="s">
        <v>2247</v>
      </c>
    </row>
    <row r="237" spans="1:4" x14ac:dyDescent="0.25">
      <c r="A237" t="s">
        <v>4649</v>
      </c>
      <c r="B237" t="s">
        <v>2247</v>
      </c>
      <c r="C237" t="s">
        <v>2359</v>
      </c>
      <c r="D237" t="s">
        <v>2249</v>
      </c>
    </row>
    <row r="238" spans="1:4" x14ac:dyDescent="0.25">
      <c r="A238" t="s">
        <v>4650</v>
      </c>
      <c r="B238" t="s">
        <v>2245</v>
      </c>
      <c r="C238" t="s">
        <v>2357</v>
      </c>
      <c r="D238" t="s">
        <v>2249</v>
      </c>
    </row>
    <row r="239" spans="1:4" x14ac:dyDescent="0.25">
      <c r="A239" t="s">
        <v>4651</v>
      </c>
      <c r="B239" t="s">
        <v>2249</v>
      </c>
      <c r="C239" t="s">
        <v>2359</v>
      </c>
      <c r="D239" t="s">
        <v>2251</v>
      </c>
    </row>
    <row r="240" spans="1:4" x14ac:dyDescent="0.25">
      <c r="A240" t="s">
        <v>4652</v>
      </c>
      <c r="B240" t="s">
        <v>2251</v>
      </c>
      <c r="C240" t="s">
        <v>2359</v>
      </c>
      <c r="D240" t="s">
        <v>2253</v>
      </c>
    </row>
    <row r="241" spans="1:4" x14ac:dyDescent="0.25">
      <c r="A241" t="s">
        <v>4653</v>
      </c>
      <c r="B241" t="s">
        <v>2253</v>
      </c>
      <c r="C241" t="s">
        <v>2359</v>
      </c>
      <c r="D241" t="s">
        <v>4654</v>
      </c>
    </row>
    <row r="242" spans="1:4" x14ac:dyDescent="0.25">
      <c r="A242" t="s">
        <v>4655</v>
      </c>
      <c r="B242" t="s">
        <v>2256</v>
      </c>
      <c r="C242" t="s">
        <v>2357</v>
      </c>
      <c r="D242" t="s">
        <v>2258</v>
      </c>
    </row>
    <row r="243" spans="1:4" x14ac:dyDescent="0.25">
      <c r="A243" t="s">
        <v>4656</v>
      </c>
      <c r="B243" t="s">
        <v>2258</v>
      </c>
      <c r="C243" t="s">
        <v>2359</v>
      </c>
      <c r="D243" t="s">
        <v>2259</v>
      </c>
    </row>
    <row r="244" spans="1:4" x14ac:dyDescent="0.25">
      <c r="A244" t="s">
        <v>4657</v>
      </c>
      <c r="B244" t="s">
        <v>2256</v>
      </c>
      <c r="C244" t="s">
        <v>2357</v>
      </c>
      <c r="D244" t="s">
        <v>2259</v>
      </c>
    </row>
    <row r="245" spans="1:4" x14ac:dyDescent="0.25">
      <c r="A245" t="s">
        <v>4658</v>
      </c>
      <c r="B245" t="s">
        <v>2259</v>
      </c>
      <c r="C245" t="s">
        <v>2359</v>
      </c>
      <c r="D245" t="s">
        <v>4659</v>
      </c>
    </row>
    <row r="246" spans="1:4" x14ac:dyDescent="0.25">
      <c r="A246" t="s">
        <v>4660</v>
      </c>
      <c r="B246" t="s">
        <v>2262</v>
      </c>
      <c r="C246" t="s">
        <v>2357</v>
      </c>
      <c r="D246" t="s">
        <v>2263</v>
      </c>
    </row>
    <row r="247" spans="1:4" x14ac:dyDescent="0.25">
      <c r="A247" t="s">
        <v>4661</v>
      </c>
      <c r="B247" t="s">
        <v>2263</v>
      </c>
      <c r="C247" t="s">
        <v>2359</v>
      </c>
      <c r="D247" t="s">
        <v>4662</v>
      </c>
    </row>
    <row r="248" spans="1:4" x14ac:dyDescent="0.25">
      <c r="A248" t="s">
        <v>4663</v>
      </c>
      <c r="B248" t="s">
        <v>2262</v>
      </c>
      <c r="C248" t="s">
        <v>2357</v>
      </c>
      <c r="D248" t="s">
        <v>4662</v>
      </c>
    </row>
    <row r="249" spans="1:4" x14ac:dyDescent="0.25">
      <c r="A249" t="s">
        <v>4664</v>
      </c>
      <c r="B249" t="s">
        <v>2266</v>
      </c>
      <c r="C249" t="s">
        <v>2357</v>
      </c>
      <c r="D249" t="s">
        <v>2267</v>
      </c>
    </row>
    <row r="250" spans="1:4" x14ac:dyDescent="0.25">
      <c r="A250" t="s">
        <v>4665</v>
      </c>
      <c r="B250" t="s">
        <v>2267</v>
      </c>
      <c r="C250" t="s">
        <v>2359</v>
      </c>
      <c r="D250" t="s">
        <v>4666</v>
      </c>
    </row>
    <row r="251" spans="1:4" x14ac:dyDescent="0.25">
      <c r="A251" t="s">
        <v>4667</v>
      </c>
      <c r="B251" t="s">
        <v>2266</v>
      </c>
      <c r="C251" t="s">
        <v>2357</v>
      </c>
      <c r="D251" t="s">
        <v>4666</v>
      </c>
    </row>
    <row r="252" spans="1:4" x14ac:dyDescent="0.25">
      <c r="A252" t="s">
        <v>4668</v>
      </c>
      <c r="B252" t="s">
        <v>2270</v>
      </c>
      <c r="C252" t="s">
        <v>2357</v>
      </c>
      <c r="D252" t="s">
        <v>2272</v>
      </c>
    </row>
    <row r="253" spans="1:4" x14ac:dyDescent="0.25">
      <c r="A253" t="s">
        <v>4669</v>
      </c>
      <c r="B253" t="s">
        <v>2272</v>
      </c>
      <c r="C253" t="s">
        <v>2359</v>
      </c>
      <c r="D253" t="s">
        <v>4670</v>
      </c>
    </row>
    <row r="254" spans="1:4" x14ac:dyDescent="0.25">
      <c r="A254" t="s">
        <v>4671</v>
      </c>
      <c r="B254" t="s">
        <v>2270</v>
      </c>
      <c r="C254" t="s">
        <v>2357</v>
      </c>
      <c r="D254" t="s">
        <v>4670</v>
      </c>
    </row>
    <row r="255" spans="1:4" x14ac:dyDescent="0.25">
      <c r="A255" t="s">
        <v>4672</v>
      </c>
      <c r="B255" t="s">
        <v>2275</v>
      </c>
      <c r="C255" t="s">
        <v>2357</v>
      </c>
      <c r="D255" t="s">
        <v>2277</v>
      </c>
    </row>
    <row r="256" spans="1:4" x14ac:dyDescent="0.25">
      <c r="A256" t="s">
        <v>4673</v>
      </c>
      <c r="B256" t="s">
        <v>2277</v>
      </c>
      <c r="C256" t="s">
        <v>2359</v>
      </c>
      <c r="D256" t="s">
        <v>4674</v>
      </c>
    </row>
    <row r="257" spans="1:4" x14ac:dyDescent="0.25">
      <c r="A257" t="s">
        <v>4675</v>
      </c>
      <c r="B257" t="s">
        <v>2275</v>
      </c>
      <c r="C257" t="s">
        <v>2357</v>
      </c>
      <c r="D257" t="s">
        <v>4674</v>
      </c>
    </row>
    <row r="258" spans="1:4" x14ac:dyDescent="0.25">
      <c r="A258" t="s">
        <v>4676</v>
      </c>
      <c r="B258" t="s">
        <v>2277</v>
      </c>
      <c r="C258" t="s">
        <v>2359</v>
      </c>
      <c r="D258" t="s">
        <v>4677</v>
      </c>
    </row>
    <row r="259" spans="1:4" x14ac:dyDescent="0.25">
      <c r="A259" t="s">
        <v>4678</v>
      </c>
      <c r="B259" t="s">
        <v>2275</v>
      </c>
      <c r="C259" t="s">
        <v>2357</v>
      </c>
      <c r="D259" t="s">
        <v>4677</v>
      </c>
    </row>
    <row r="260" spans="1:4" x14ac:dyDescent="0.25">
      <c r="A260" t="s">
        <v>4679</v>
      </c>
      <c r="B260" t="s">
        <v>2283</v>
      </c>
      <c r="C260" t="s">
        <v>2357</v>
      </c>
      <c r="D260" t="s">
        <v>2284</v>
      </c>
    </row>
    <row r="261" spans="1:4" x14ac:dyDescent="0.25">
      <c r="A261" t="s">
        <v>4680</v>
      </c>
      <c r="B261" t="s">
        <v>2284</v>
      </c>
      <c r="C261" t="s">
        <v>2359</v>
      </c>
      <c r="D261" t="s">
        <v>4681</v>
      </c>
    </row>
    <row r="262" spans="1:4" x14ac:dyDescent="0.25">
      <c r="A262" t="s">
        <v>4682</v>
      </c>
      <c r="B262" t="s">
        <v>2283</v>
      </c>
      <c r="C262" t="s">
        <v>2357</v>
      </c>
      <c r="D262" t="s">
        <v>4681</v>
      </c>
    </row>
    <row r="263" spans="1:4" x14ac:dyDescent="0.25">
      <c r="A263" t="s">
        <v>4683</v>
      </c>
      <c r="B263" t="s">
        <v>2287</v>
      </c>
      <c r="C263" t="s">
        <v>2357</v>
      </c>
      <c r="D263" t="s">
        <v>2288</v>
      </c>
    </row>
    <row r="264" spans="1:4" x14ac:dyDescent="0.25">
      <c r="A264" t="s">
        <v>4684</v>
      </c>
      <c r="B264" t="s">
        <v>2288</v>
      </c>
      <c r="C264" t="s">
        <v>2359</v>
      </c>
      <c r="D264" t="s">
        <v>4685</v>
      </c>
    </row>
    <row r="265" spans="1:4" x14ac:dyDescent="0.25">
      <c r="A265" t="s">
        <v>4686</v>
      </c>
      <c r="B265" t="s">
        <v>2287</v>
      </c>
      <c r="C265" t="s">
        <v>2357</v>
      </c>
      <c r="D265" t="s">
        <v>4685</v>
      </c>
    </row>
    <row r="266" spans="1:4" x14ac:dyDescent="0.25">
      <c r="A266" t="s">
        <v>4687</v>
      </c>
      <c r="B266" t="s">
        <v>2291</v>
      </c>
      <c r="C266" t="s">
        <v>2357</v>
      </c>
      <c r="D266" t="s">
        <v>2292</v>
      </c>
    </row>
    <row r="267" spans="1:4" x14ac:dyDescent="0.25">
      <c r="A267" t="s">
        <v>4688</v>
      </c>
      <c r="B267" t="s">
        <v>2292</v>
      </c>
      <c r="C267" t="s">
        <v>2359</v>
      </c>
      <c r="D267" t="s">
        <v>4689</v>
      </c>
    </row>
    <row r="268" spans="1:4" x14ac:dyDescent="0.25">
      <c r="A268" t="s">
        <v>4690</v>
      </c>
      <c r="B268" t="s">
        <v>2291</v>
      </c>
      <c r="C268" t="s">
        <v>2357</v>
      </c>
      <c r="D268" t="s">
        <v>4689</v>
      </c>
    </row>
    <row r="269" spans="1:4" x14ac:dyDescent="0.25">
      <c r="A269" t="s">
        <v>4691</v>
      </c>
      <c r="B269" t="s">
        <v>2295</v>
      </c>
      <c r="C269" t="s">
        <v>2357</v>
      </c>
      <c r="D269" t="s">
        <v>2297</v>
      </c>
    </row>
    <row r="270" spans="1:4" x14ac:dyDescent="0.25">
      <c r="A270" t="s">
        <v>4692</v>
      </c>
      <c r="B270" t="s">
        <v>2297</v>
      </c>
      <c r="C270" t="s">
        <v>2359</v>
      </c>
      <c r="D270" t="s">
        <v>2299</v>
      </c>
    </row>
    <row r="271" spans="1:4" x14ac:dyDescent="0.25">
      <c r="A271" t="s">
        <v>4693</v>
      </c>
      <c r="B271" t="s">
        <v>2295</v>
      </c>
      <c r="C271" t="s">
        <v>2357</v>
      </c>
      <c r="D271" t="s">
        <v>2299</v>
      </c>
    </row>
    <row r="272" spans="1:4" x14ac:dyDescent="0.25">
      <c r="A272" t="s">
        <v>4694</v>
      </c>
      <c r="B272" t="s">
        <v>2299</v>
      </c>
      <c r="C272" t="s">
        <v>2359</v>
      </c>
      <c r="D272" t="s">
        <v>2301</v>
      </c>
    </row>
    <row r="273" spans="1:4" x14ac:dyDescent="0.25">
      <c r="A273" t="s">
        <v>4695</v>
      </c>
      <c r="B273" t="s">
        <v>2301</v>
      </c>
      <c r="C273" t="s">
        <v>2359</v>
      </c>
      <c r="D273" t="s">
        <v>2302</v>
      </c>
    </row>
    <row r="274" spans="1:4" x14ac:dyDescent="0.25">
      <c r="A274" t="s">
        <v>4696</v>
      </c>
      <c r="B274" t="s">
        <v>2302</v>
      </c>
      <c r="C274" t="s">
        <v>2359</v>
      </c>
      <c r="D274" t="s">
        <v>4697</v>
      </c>
    </row>
    <row r="275" spans="1:4" x14ac:dyDescent="0.25">
      <c r="A275" t="s">
        <v>4698</v>
      </c>
      <c r="B275" t="s">
        <v>2305</v>
      </c>
      <c r="C275" t="s">
        <v>2357</v>
      </c>
      <c r="D275" t="s">
        <v>2306</v>
      </c>
    </row>
    <row r="276" spans="1:4" x14ac:dyDescent="0.25">
      <c r="A276" t="s">
        <v>4699</v>
      </c>
      <c r="B276" t="s">
        <v>2306</v>
      </c>
      <c r="C276" t="s">
        <v>2359</v>
      </c>
      <c r="D276" t="s">
        <v>4700</v>
      </c>
    </row>
    <row r="277" spans="1:4" x14ac:dyDescent="0.25">
      <c r="A277" t="s">
        <v>4701</v>
      </c>
      <c r="B277" t="s">
        <v>2305</v>
      </c>
      <c r="C277" t="s">
        <v>2357</v>
      </c>
      <c r="D277" t="s">
        <v>4700</v>
      </c>
    </row>
    <row r="278" spans="1:4" x14ac:dyDescent="0.25">
      <c r="A278" t="s">
        <v>4702</v>
      </c>
      <c r="B278" t="s">
        <v>2309</v>
      </c>
      <c r="C278" t="s">
        <v>2357</v>
      </c>
      <c r="D278" t="s">
        <v>2310</v>
      </c>
    </row>
    <row r="279" spans="1:4" x14ac:dyDescent="0.25">
      <c r="A279" t="s">
        <v>4703</v>
      </c>
      <c r="B279" t="s">
        <v>2310</v>
      </c>
      <c r="C279" t="s">
        <v>2359</v>
      </c>
      <c r="D279" t="s">
        <v>4704</v>
      </c>
    </row>
    <row r="280" spans="1:4" x14ac:dyDescent="0.25">
      <c r="A280" t="s">
        <v>4705</v>
      </c>
      <c r="B280" t="s">
        <v>2309</v>
      </c>
      <c r="C280" t="s">
        <v>2357</v>
      </c>
      <c r="D280" t="s">
        <v>4704</v>
      </c>
    </row>
    <row r="281" spans="1:4" x14ac:dyDescent="0.25">
      <c r="A281" t="s">
        <v>4706</v>
      </c>
      <c r="B281" t="s">
        <v>2313</v>
      </c>
      <c r="C281" t="s">
        <v>2357</v>
      </c>
      <c r="D281" t="s">
        <v>2314</v>
      </c>
    </row>
    <row r="282" spans="1:4" x14ac:dyDescent="0.25">
      <c r="A282" t="s">
        <v>4707</v>
      </c>
      <c r="B282" t="s">
        <v>2314</v>
      </c>
      <c r="C282" t="s">
        <v>2359</v>
      </c>
      <c r="D282" t="s">
        <v>4708</v>
      </c>
    </row>
    <row r="283" spans="1:4" x14ac:dyDescent="0.25">
      <c r="A283" t="s">
        <v>4709</v>
      </c>
      <c r="B283" t="s">
        <v>2313</v>
      </c>
      <c r="C283" t="s">
        <v>2357</v>
      </c>
      <c r="D283" t="s">
        <v>4708</v>
      </c>
    </row>
    <row r="284" spans="1:4" x14ac:dyDescent="0.25">
      <c r="A284" t="s">
        <v>4710</v>
      </c>
      <c r="B284" t="s">
        <v>2317</v>
      </c>
      <c r="C284" t="s">
        <v>2357</v>
      </c>
      <c r="D284" t="s">
        <v>2318</v>
      </c>
    </row>
    <row r="285" spans="1:4" x14ac:dyDescent="0.25">
      <c r="A285" t="s">
        <v>4711</v>
      </c>
      <c r="B285" t="s">
        <v>2318</v>
      </c>
      <c r="C285" t="s">
        <v>2359</v>
      </c>
      <c r="D285" t="s">
        <v>4712</v>
      </c>
    </row>
    <row r="286" spans="1:4" x14ac:dyDescent="0.25">
      <c r="A286" t="s">
        <v>4713</v>
      </c>
      <c r="B286" t="s">
        <v>2317</v>
      </c>
      <c r="C286" t="s">
        <v>2357</v>
      </c>
      <c r="D286" t="s">
        <v>4712</v>
      </c>
    </row>
    <row r="287" spans="1:4" x14ac:dyDescent="0.25">
      <c r="A287" t="s">
        <v>4714</v>
      </c>
      <c r="B287" t="s">
        <v>2321</v>
      </c>
      <c r="C287" t="s">
        <v>2357</v>
      </c>
      <c r="D287" t="s">
        <v>2323</v>
      </c>
    </row>
    <row r="288" spans="1:4" x14ac:dyDescent="0.25">
      <c r="A288" t="s">
        <v>4715</v>
      </c>
      <c r="B288" t="s">
        <v>2323</v>
      </c>
      <c r="C288" t="s">
        <v>2359</v>
      </c>
      <c r="D288" t="s">
        <v>4716</v>
      </c>
    </row>
    <row r="289" spans="1:4" x14ac:dyDescent="0.25">
      <c r="A289" t="s">
        <v>4717</v>
      </c>
      <c r="B289" t="s">
        <v>2321</v>
      </c>
      <c r="C289" t="s">
        <v>2357</v>
      </c>
      <c r="D289" t="s">
        <v>4716</v>
      </c>
    </row>
    <row r="290" spans="1:4" x14ac:dyDescent="0.25">
      <c r="A290" t="s">
        <v>4718</v>
      </c>
      <c r="B290" t="s">
        <v>2323</v>
      </c>
      <c r="C290" t="s">
        <v>2359</v>
      </c>
      <c r="D290" t="s">
        <v>4719</v>
      </c>
    </row>
    <row r="291" spans="1:4" x14ac:dyDescent="0.25">
      <c r="A291" t="s">
        <v>4720</v>
      </c>
      <c r="B291" t="s">
        <v>2321</v>
      </c>
      <c r="C291" t="s">
        <v>2357</v>
      </c>
      <c r="D291" t="s">
        <v>4719</v>
      </c>
    </row>
    <row r="292" spans="1:4" x14ac:dyDescent="0.25">
      <c r="A292" t="s">
        <v>4721</v>
      </c>
      <c r="B292" t="s">
        <v>4716</v>
      </c>
      <c r="C292" t="s">
        <v>2366</v>
      </c>
      <c r="D292" t="s">
        <v>4722</v>
      </c>
    </row>
    <row r="293" spans="1:4" x14ac:dyDescent="0.25">
      <c r="A293" t="s">
        <v>4723</v>
      </c>
      <c r="B293" t="s">
        <v>4719</v>
      </c>
      <c r="C293" t="s">
        <v>2366</v>
      </c>
      <c r="D293" t="s">
        <v>4722</v>
      </c>
    </row>
    <row r="294" spans="1:4" x14ac:dyDescent="0.25">
      <c r="A294" t="s">
        <v>4724</v>
      </c>
      <c r="B294" t="s">
        <v>4716</v>
      </c>
      <c r="C294" t="s">
        <v>2366</v>
      </c>
      <c r="D294" t="s">
        <v>4725</v>
      </c>
    </row>
    <row r="295" spans="1:4" x14ac:dyDescent="0.25">
      <c r="A295" t="s">
        <v>4726</v>
      </c>
      <c r="B295" t="s">
        <v>4719</v>
      </c>
      <c r="C295" t="s">
        <v>2366</v>
      </c>
      <c r="D295" t="s">
        <v>4725</v>
      </c>
    </row>
    <row r="296" spans="1:4" x14ac:dyDescent="0.25">
      <c r="A296" t="s">
        <v>4727</v>
      </c>
      <c r="B296" t="s">
        <v>4722</v>
      </c>
      <c r="C296" t="s">
        <v>2366</v>
      </c>
      <c r="D296" t="s">
        <v>4728</v>
      </c>
    </row>
    <row r="297" spans="1:4" x14ac:dyDescent="0.25">
      <c r="A297" t="s">
        <v>4729</v>
      </c>
      <c r="B297" t="s">
        <v>4725</v>
      </c>
      <c r="C297" t="s">
        <v>2366</v>
      </c>
      <c r="D297" t="s">
        <v>4728</v>
      </c>
    </row>
    <row r="298" spans="1:4" x14ac:dyDescent="0.25">
      <c r="A298" t="s">
        <v>4730</v>
      </c>
      <c r="B298" t="s">
        <v>2333</v>
      </c>
      <c r="C298" t="s">
        <v>2357</v>
      </c>
      <c r="D298" t="s">
        <v>2334</v>
      </c>
    </row>
    <row r="299" spans="1:4" x14ac:dyDescent="0.25">
      <c r="A299" t="s">
        <v>4731</v>
      </c>
      <c r="B299" t="s">
        <v>2334</v>
      </c>
      <c r="C299" t="s">
        <v>2359</v>
      </c>
      <c r="D299" t="s">
        <v>4732</v>
      </c>
    </row>
    <row r="300" spans="1:4" x14ac:dyDescent="0.25">
      <c r="A300" t="s">
        <v>4733</v>
      </c>
      <c r="B300" t="s">
        <v>2333</v>
      </c>
      <c r="C300" t="s">
        <v>2357</v>
      </c>
      <c r="D300" t="s">
        <v>4732</v>
      </c>
    </row>
    <row r="301" spans="1:4" x14ac:dyDescent="0.25">
      <c r="A301" t="s">
        <v>4734</v>
      </c>
      <c r="B301" t="s">
        <v>2337</v>
      </c>
      <c r="C301" t="s">
        <v>2357</v>
      </c>
      <c r="D301" t="s">
        <v>2338</v>
      </c>
    </row>
    <row r="302" spans="1:4" x14ac:dyDescent="0.25">
      <c r="A302" t="s">
        <v>4735</v>
      </c>
      <c r="B302" t="s">
        <v>2338</v>
      </c>
      <c r="C302" t="s">
        <v>2359</v>
      </c>
      <c r="D302" t="s">
        <v>4736</v>
      </c>
    </row>
    <row r="303" spans="1:4" x14ac:dyDescent="0.25">
      <c r="A303" t="s">
        <v>4737</v>
      </c>
      <c r="B303" t="s">
        <v>2337</v>
      </c>
      <c r="C303" t="s">
        <v>2357</v>
      </c>
      <c r="D303" t="s">
        <v>4736</v>
      </c>
    </row>
    <row r="304" spans="1:4" x14ac:dyDescent="0.25">
      <c r="A304" t="s">
        <v>4738</v>
      </c>
      <c r="B304" t="s">
        <v>2341</v>
      </c>
      <c r="C304" t="s">
        <v>2357</v>
      </c>
      <c r="D304" t="s">
        <v>2342</v>
      </c>
    </row>
    <row r="305" spans="1:4" x14ac:dyDescent="0.25">
      <c r="A305" t="s">
        <v>4739</v>
      </c>
      <c r="B305" t="s">
        <v>2342</v>
      </c>
      <c r="C305" t="s">
        <v>2359</v>
      </c>
      <c r="D305" t="s">
        <v>4740</v>
      </c>
    </row>
    <row r="306" spans="1:4" x14ac:dyDescent="0.25">
      <c r="A306" t="s">
        <v>4741</v>
      </c>
      <c r="B306" t="s">
        <v>2341</v>
      </c>
      <c r="C306" t="s">
        <v>2357</v>
      </c>
      <c r="D306" t="s">
        <v>4740</v>
      </c>
    </row>
    <row r="307" spans="1:4" x14ac:dyDescent="0.25">
      <c r="A307" t="s">
        <v>4742</v>
      </c>
      <c r="B307" t="s">
        <v>2345</v>
      </c>
      <c r="C307" t="s">
        <v>2357</v>
      </c>
      <c r="D307" t="s">
        <v>2346</v>
      </c>
    </row>
    <row r="308" spans="1:4" x14ac:dyDescent="0.25">
      <c r="A308" t="s">
        <v>4743</v>
      </c>
      <c r="B308" t="s">
        <v>2346</v>
      </c>
      <c r="C308" t="s">
        <v>2359</v>
      </c>
      <c r="D308" t="s">
        <v>4744</v>
      </c>
    </row>
    <row r="309" spans="1:4" x14ac:dyDescent="0.25">
      <c r="A309" t="s">
        <v>4745</v>
      </c>
      <c r="B309" t="s">
        <v>2345</v>
      </c>
      <c r="C309" t="s">
        <v>2357</v>
      </c>
      <c r="D309" t="s">
        <v>4744</v>
      </c>
    </row>
    <row r="310" spans="1:4" x14ac:dyDescent="0.25">
      <c r="A310" t="s">
        <v>4746</v>
      </c>
      <c r="B310" t="s">
        <v>2349</v>
      </c>
      <c r="C310" t="s">
        <v>2357</v>
      </c>
      <c r="D310" t="s">
        <v>2350</v>
      </c>
    </row>
    <row r="311" spans="1:4" x14ac:dyDescent="0.25">
      <c r="A311" t="s">
        <v>4747</v>
      </c>
      <c r="B311" t="s">
        <v>2350</v>
      </c>
      <c r="C311" t="s">
        <v>2359</v>
      </c>
      <c r="D311" t="s">
        <v>4748</v>
      </c>
    </row>
    <row r="312" spans="1:4" x14ac:dyDescent="0.25">
      <c r="A312" t="s">
        <v>4749</v>
      </c>
      <c r="B312" t="s">
        <v>2349</v>
      </c>
      <c r="C312" t="s">
        <v>2357</v>
      </c>
      <c r="D312" t="s">
        <v>4748</v>
      </c>
    </row>
    <row r="313" spans="1:4" x14ac:dyDescent="0.25">
      <c r="A313" t="s">
        <v>4750</v>
      </c>
      <c r="B313" t="s">
        <v>1954</v>
      </c>
      <c r="C313" t="s">
        <v>2475</v>
      </c>
      <c r="D313" t="s">
        <v>1956</v>
      </c>
    </row>
    <row r="314" spans="1:4" x14ac:dyDescent="0.25">
      <c r="A314" t="s">
        <v>4751</v>
      </c>
      <c r="B314" t="s">
        <v>1967</v>
      </c>
      <c r="C314" t="s">
        <v>2475</v>
      </c>
      <c r="D314" t="s">
        <v>1969</v>
      </c>
    </row>
    <row r="315" spans="1:4" x14ac:dyDescent="0.25">
      <c r="A315" t="s">
        <v>4752</v>
      </c>
      <c r="B315" t="s">
        <v>2144</v>
      </c>
      <c r="C315" t="s">
        <v>2475</v>
      </c>
      <c r="D315" t="s">
        <v>2146</v>
      </c>
    </row>
    <row r="316" spans="1:4" x14ac:dyDescent="0.25">
      <c r="A316" t="s">
        <v>4753</v>
      </c>
      <c r="B316" t="s">
        <v>2144</v>
      </c>
      <c r="C316" t="s">
        <v>2475</v>
      </c>
      <c r="D316" t="s">
        <v>2149</v>
      </c>
    </row>
    <row r="317" spans="1:4" x14ac:dyDescent="0.25">
      <c r="A317" t="s">
        <v>4754</v>
      </c>
      <c r="B317" t="s">
        <v>2144</v>
      </c>
      <c r="C317" t="s">
        <v>2475</v>
      </c>
      <c r="D317" t="s">
        <v>2152</v>
      </c>
    </row>
    <row r="318" spans="1:4" x14ac:dyDescent="0.25">
      <c r="A318" t="s">
        <v>4755</v>
      </c>
      <c r="B318" t="s">
        <v>2146</v>
      </c>
      <c r="C318" t="s">
        <v>2475</v>
      </c>
      <c r="D318" t="s">
        <v>2149</v>
      </c>
    </row>
    <row r="319" spans="1:4" x14ac:dyDescent="0.25">
      <c r="A319" t="s">
        <v>4756</v>
      </c>
      <c r="B319" t="s">
        <v>2146</v>
      </c>
      <c r="C319" t="s">
        <v>2475</v>
      </c>
      <c r="D319" t="s">
        <v>2152</v>
      </c>
    </row>
    <row r="320" spans="1:4" x14ac:dyDescent="0.25">
      <c r="A320" t="s">
        <v>4757</v>
      </c>
      <c r="B320" t="s">
        <v>2149</v>
      </c>
      <c r="C320" t="s">
        <v>2475</v>
      </c>
      <c r="D320" t="s">
        <v>2152</v>
      </c>
    </row>
    <row r="321" spans="1:4" x14ac:dyDescent="0.25">
      <c r="A321" t="s">
        <v>4758</v>
      </c>
      <c r="B321" t="s">
        <v>2278</v>
      </c>
      <c r="C321" t="s">
        <v>2475</v>
      </c>
      <c r="D321" t="s">
        <v>2280</v>
      </c>
    </row>
    <row r="322" spans="1:4" x14ac:dyDescent="0.25">
      <c r="A322" t="s">
        <v>4759</v>
      </c>
      <c r="B322" t="s">
        <v>2327</v>
      </c>
      <c r="C322" t="s">
        <v>2475</v>
      </c>
      <c r="D322" t="s">
        <v>2329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"/>
  <sheetViews>
    <sheetView workbookViewId="0">
      <selection activeCell="G36" sqref="G36:H37"/>
    </sheetView>
  </sheetViews>
  <sheetFormatPr defaultRowHeight="15" x14ac:dyDescent="0.25"/>
  <cols>
    <col min="1" max="1" width="17.5703125" bestFit="1" customWidth="1"/>
    <col min="2" max="2" width="14.42578125" bestFit="1" customWidth="1"/>
    <col min="3" max="3" width="14.7109375" bestFit="1" customWidth="1"/>
    <col min="4" max="4" width="9.85546875" bestFit="1" customWidth="1"/>
    <col min="5" max="5" width="6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-999</v>
      </c>
      <c r="C2">
        <v>-11</v>
      </c>
      <c r="D2">
        <v>0.05</v>
      </c>
      <c r="E2" t="s">
        <v>6</v>
      </c>
    </row>
    <row r="3" spans="1:5" x14ac:dyDescent="0.25">
      <c r="A3" t="s">
        <v>5</v>
      </c>
      <c r="B3">
        <v>-10</v>
      </c>
      <c r="C3">
        <v>999</v>
      </c>
      <c r="D3">
        <v>0.8</v>
      </c>
      <c r="E3" t="s">
        <v>7</v>
      </c>
    </row>
    <row r="4" spans="1:5" x14ac:dyDescent="0.25">
      <c r="A4" t="s">
        <v>8</v>
      </c>
      <c r="B4">
        <v>-999</v>
      </c>
      <c r="C4">
        <v>-6</v>
      </c>
      <c r="D4">
        <v>0.05</v>
      </c>
      <c r="E4" t="s">
        <v>9</v>
      </c>
    </row>
    <row r="5" spans="1:5" x14ac:dyDescent="0.25">
      <c r="A5" t="s">
        <v>8</v>
      </c>
      <c r="B5">
        <v>-5</v>
      </c>
      <c r="C5">
        <v>-5</v>
      </c>
      <c r="D5">
        <v>0.1</v>
      </c>
    </row>
    <row r="6" spans="1:5" x14ac:dyDescent="0.25">
      <c r="A6" t="s">
        <v>8</v>
      </c>
      <c r="B6">
        <v>-4</v>
      </c>
      <c r="C6">
        <v>-4</v>
      </c>
      <c r="D6">
        <v>0.16</v>
      </c>
    </row>
    <row r="7" spans="1:5" x14ac:dyDescent="0.25">
      <c r="A7" t="s">
        <v>8</v>
      </c>
      <c r="B7">
        <v>-3</v>
      </c>
      <c r="C7">
        <v>-3</v>
      </c>
      <c r="D7">
        <v>0.36</v>
      </c>
    </row>
    <row r="8" spans="1:5" x14ac:dyDescent="0.25">
      <c r="A8" t="s">
        <v>8</v>
      </c>
      <c r="B8">
        <v>-2</v>
      </c>
      <c r="C8">
        <v>-2</v>
      </c>
      <c r="D8">
        <v>0.48</v>
      </c>
    </row>
    <row r="9" spans="1:5" x14ac:dyDescent="0.25">
      <c r="A9" t="s">
        <v>8</v>
      </c>
      <c r="B9">
        <v>-1</v>
      </c>
      <c r="C9">
        <v>-1</v>
      </c>
      <c r="D9">
        <v>0.64</v>
      </c>
    </row>
    <row r="10" spans="1:5" x14ac:dyDescent="0.25">
      <c r="A10" t="s">
        <v>8</v>
      </c>
      <c r="B10">
        <v>0</v>
      </c>
      <c r="C10">
        <v>0</v>
      </c>
      <c r="D10">
        <v>0.8</v>
      </c>
      <c r="E10" t="s">
        <v>10</v>
      </c>
    </row>
    <row r="11" spans="1:5" x14ac:dyDescent="0.25">
      <c r="A11" t="s">
        <v>8</v>
      </c>
      <c r="B11">
        <v>1</v>
      </c>
      <c r="C11">
        <v>1</v>
      </c>
      <c r="D11">
        <v>0.96</v>
      </c>
    </row>
    <row r="12" spans="1:5" x14ac:dyDescent="0.25">
      <c r="A12" t="s">
        <v>8</v>
      </c>
      <c r="B12">
        <v>2</v>
      </c>
      <c r="C12">
        <v>2</v>
      </c>
      <c r="D12">
        <v>1.1200000000000001</v>
      </c>
    </row>
    <row r="13" spans="1:5" x14ac:dyDescent="0.25">
      <c r="A13" t="s">
        <v>8</v>
      </c>
      <c r="B13">
        <v>3</v>
      </c>
      <c r="C13">
        <v>3</v>
      </c>
      <c r="D13">
        <v>1.28</v>
      </c>
    </row>
    <row r="14" spans="1:5" x14ac:dyDescent="0.25">
      <c r="A14" t="s">
        <v>8</v>
      </c>
      <c r="B14">
        <v>4</v>
      </c>
      <c r="C14">
        <v>4</v>
      </c>
      <c r="D14">
        <v>1.44</v>
      </c>
    </row>
    <row r="15" spans="1:5" x14ac:dyDescent="0.25">
      <c r="A15" t="s">
        <v>8</v>
      </c>
      <c r="B15">
        <v>5</v>
      </c>
      <c r="C15">
        <v>5</v>
      </c>
      <c r="D15">
        <v>1.5</v>
      </c>
    </row>
    <row r="16" spans="1:5" x14ac:dyDescent="0.25">
      <c r="A16" t="s">
        <v>8</v>
      </c>
      <c r="B16">
        <v>6</v>
      </c>
      <c r="C16">
        <v>999</v>
      </c>
      <c r="D16">
        <v>0.8</v>
      </c>
      <c r="E16" t="s">
        <v>11</v>
      </c>
    </row>
    <row r="17" spans="1:5" x14ac:dyDescent="0.25">
      <c r="A17" t="s">
        <v>12</v>
      </c>
      <c r="B17">
        <v>-999</v>
      </c>
      <c r="C17">
        <v>999</v>
      </c>
      <c r="D17">
        <v>1</v>
      </c>
      <c r="E17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>
      <selection activeCell="B12" sqref="B12"/>
    </sheetView>
  </sheetViews>
  <sheetFormatPr defaultRowHeight="15" x14ac:dyDescent="0.25"/>
  <cols>
    <col min="1" max="1" width="14" bestFit="1" customWidth="1"/>
    <col min="2" max="2" width="41.42578125" bestFit="1" customWidth="1"/>
  </cols>
  <sheetData>
    <row r="1" spans="1:2" x14ac:dyDescent="0.25">
      <c r="A1" t="s">
        <v>4760</v>
      </c>
      <c r="B1" t="s">
        <v>20</v>
      </c>
    </row>
    <row r="2" spans="1:2" x14ac:dyDescent="0.25">
      <c r="A2" t="s">
        <v>2359</v>
      </c>
      <c r="B2" t="s">
        <v>4761</v>
      </c>
    </row>
    <row r="3" spans="1:2" x14ac:dyDescent="0.25">
      <c r="A3" t="s">
        <v>4762</v>
      </c>
      <c r="B3" t="s">
        <v>4763</v>
      </c>
    </row>
    <row r="4" spans="1:2" x14ac:dyDescent="0.25">
      <c r="A4" t="s">
        <v>2475</v>
      </c>
      <c r="B4" t="s">
        <v>4764</v>
      </c>
    </row>
    <row r="5" spans="1:2" x14ac:dyDescent="0.25">
      <c r="A5" t="s">
        <v>2366</v>
      </c>
      <c r="B5" t="s">
        <v>4765</v>
      </c>
    </row>
    <row r="6" spans="1:2" x14ac:dyDescent="0.25">
      <c r="A6" t="s">
        <v>2399</v>
      </c>
      <c r="B6" t="s">
        <v>4766</v>
      </c>
    </row>
    <row r="7" spans="1:2" x14ac:dyDescent="0.25">
      <c r="A7" t="s">
        <v>2357</v>
      </c>
      <c r="B7" t="s">
        <v>4767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8"/>
  <sheetViews>
    <sheetView workbookViewId="0"/>
  </sheetViews>
  <sheetFormatPr defaultRowHeight="15" x14ac:dyDescent="0.25"/>
  <sheetData>
    <row r="1" spans="1:6" x14ac:dyDescent="0.25">
      <c r="A1" s="6" t="s">
        <v>4768</v>
      </c>
      <c r="B1" s="6" t="s">
        <v>4769</v>
      </c>
      <c r="C1" s="6" t="s">
        <v>4770</v>
      </c>
      <c r="D1" s="6" t="s">
        <v>4771</v>
      </c>
      <c r="E1" s="6" t="s">
        <v>4772</v>
      </c>
      <c r="F1" s="6" t="s">
        <v>4773</v>
      </c>
    </row>
    <row r="2" spans="1:6" x14ac:dyDescent="0.25">
      <c r="A2" t="s">
        <v>4774</v>
      </c>
      <c r="B2">
        <v>8</v>
      </c>
      <c r="C2" t="s">
        <v>59</v>
      </c>
      <c r="D2" t="s">
        <v>27</v>
      </c>
      <c r="E2" t="s">
        <v>55</v>
      </c>
      <c r="F2" t="s">
        <v>55</v>
      </c>
    </row>
    <row r="3" spans="1:6" x14ac:dyDescent="0.25">
      <c r="A3" t="s">
        <v>4774</v>
      </c>
      <c r="B3">
        <v>9</v>
      </c>
      <c r="C3" t="s">
        <v>62</v>
      </c>
      <c r="D3" t="s">
        <v>27</v>
      </c>
      <c r="E3" t="s">
        <v>55</v>
      </c>
      <c r="F3" t="s">
        <v>55</v>
      </c>
    </row>
    <row r="4" spans="1:6" x14ac:dyDescent="0.25">
      <c r="A4" t="s">
        <v>4774</v>
      </c>
      <c r="B4">
        <v>13</v>
      </c>
      <c r="C4" t="s">
        <v>50</v>
      </c>
      <c r="D4" t="s">
        <v>27</v>
      </c>
      <c r="E4" t="s">
        <v>67</v>
      </c>
      <c r="F4" t="s">
        <v>4775</v>
      </c>
    </row>
    <row r="5" spans="1:6" x14ac:dyDescent="0.25">
      <c r="A5" t="s">
        <v>4774</v>
      </c>
      <c r="B5">
        <v>13</v>
      </c>
      <c r="C5" t="s">
        <v>50</v>
      </c>
      <c r="D5" t="s">
        <v>27</v>
      </c>
      <c r="E5" t="s">
        <v>67</v>
      </c>
      <c r="F5" t="s">
        <v>4776</v>
      </c>
    </row>
    <row r="6" spans="1:6" x14ac:dyDescent="0.25">
      <c r="A6" t="s">
        <v>4774</v>
      </c>
      <c r="B6">
        <v>14</v>
      </c>
      <c r="C6" t="s">
        <v>2381</v>
      </c>
      <c r="D6" t="s">
        <v>27</v>
      </c>
      <c r="E6" t="s">
        <v>67</v>
      </c>
      <c r="F6" t="s">
        <v>4775</v>
      </c>
    </row>
    <row r="7" spans="1:6" x14ac:dyDescent="0.25">
      <c r="A7" t="s">
        <v>4774</v>
      </c>
      <c r="B7">
        <v>14</v>
      </c>
      <c r="C7" t="s">
        <v>2381</v>
      </c>
      <c r="D7" t="s">
        <v>27</v>
      </c>
      <c r="E7" t="s">
        <v>67</v>
      </c>
      <c r="F7" t="s">
        <v>4776</v>
      </c>
    </row>
    <row r="8" spans="1:6" x14ac:dyDescent="0.25">
      <c r="A8" t="s">
        <v>820</v>
      </c>
      <c r="B8">
        <v>77</v>
      </c>
      <c r="C8" t="s">
        <v>4777</v>
      </c>
      <c r="D8" t="s">
        <v>27</v>
      </c>
      <c r="E8" t="s">
        <v>999</v>
      </c>
      <c r="F8" t="s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White Orchard</vt:lpstr>
      <vt:lpstr>Visima</vt:lpstr>
      <vt:lpstr>Velen</vt:lpstr>
      <vt:lpstr>Novigrad</vt:lpstr>
      <vt:lpstr>Skellige</vt:lpstr>
      <vt:lpstr>Kear Morhen</vt:lpstr>
      <vt:lpstr>Toussaint</vt:lpstr>
      <vt:lpstr>White Orchard Relationships</vt:lpstr>
      <vt:lpstr>Visima Relationships</vt:lpstr>
      <vt:lpstr>Velen Relationships</vt:lpstr>
      <vt:lpstr>Novigrad Relationships</vt:lpstr>
      <vt:lpstr>Skellige Relationships</vt:lpstr>
      <vt:lpstr>Kear Morhen Relationships</vt:lpstr>
      <vt:lpstr>Toussaint Relationships</vt:lpstr>
      <vt:lpstr>Reward_rules</vt:lpstr>
      <vt:lpstr>Relationships</vt:lpstr>
      <vt:lpstr>Relationship_issues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Lewandowski</dc:creator>
  <cp:lastModifiedBy>Daniel Lewandowski</cp:lastModifiedBy>
  <dcterms:created xsi:type="dcterms:W3CDTF">2026-07-15T14:51:14Z</dcterms:created>
  <dcterms:modified xsi:type="dcterms:W3CDTF">2026-10-10T14:41:57Z</dcterms:modified>
</cp:coreProperties>
</file>